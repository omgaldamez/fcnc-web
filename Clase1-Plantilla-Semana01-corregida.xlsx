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f1265f86595bb2/Escritorio/fcnc-web/"/>
    </mc:Choice>
  </mc:AlternateContent>
  <xr:revisionPtr revIDLastSave="12" documentId="11_7192102A526FE08E684820D5495DCE3AC74C414D" xr6:coauthVersionLast="47" xr6:coauthVersionMax="47" xr10:uidLastSave="{5DA68D02-6AAA-4308-9567-C52D277CD992}"/>
  <bookViews>
    <workbookView xWindow="-98" yWindow="-98" windowWidth="21795" windowHeight="12975" xr2:uid="{00000000-000D-0000-FFFF-FFFF00000000}"/>
  </bookViews>
  <sheets>
    <sheet name="Auditoria taque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2" i="1"/>
  <c r="B23" i="1"/>
  <c r="E23" i="1" s="1"/>
  <c r="F23" i="1" s="1"/>
  <c r="E22" i="1"/>
  <c r="C22" i="1"/>
  <c r="D22" i="1" s="1"/>
  <c r="C21" i="1"/>
  <c r="B21" i="1"/>
  <c r="E21" i="1" s="1"/>
  <c r="F21" i="1" s="1"/>
  <c r="E14" i="1"/>
  <c r="F14" i="1" s="1"/>
  <c r="E13" i="1"/>
  <c r="F13" i="1" s="1"/>
  <c r="E12" i="1"/>
  <c r="F12" i="1" s="1"/>
  <c r="D21" i="1" l="1"/>
  <c r="D23" i="1"/>
  <c r="G12" i="1"/>
  <c r="H12" i="1" s="1"/>
  <c r="F22" i="1"/>
  <c r="G22" i="1" s="1"/>
  <c r="G23" i="1"/>
  <c r="G14" i="1"/>
  <c r="H14" i="1" s="1"/>
</calcChain>
</file>

<file path=xl/sharedStrings.xml><?xml version="1.0" encoding="utf-8"?>
<sst xmlns="http://schemas.openxmlformats.org/spreadsheetml/2006/main" count="41" uniqueCount="32">
  <si>
    <t>FUNDAMENTOS CUANTITATIVOS PARA NEGOCIOS CREATIVOS  ·  SEMANA 1</t>
  </si>
  <si>
    <t>CÓMO LEER LOS COLORES</t>
  </si>
  <si>
    <t>VERDE · celda que tú editas. Cámbiala y todo lo demás se recalcula solo.</t>
  </si>
  <si>
    <t>AZUL · dato reportado por la fuente. No lo cambies: es el terreno contra el que te comparas.</t>
  </si>
  <si>
    <t>GRIS · celda calculada por una fórmula. No escribas aquí, se sobrescribe la fórmula.</t>
  </si>
  <si>
    <t>1  ·  PISO, TU SUPUESTO Y TECHO</t>
  </si>
  <si>
    <t>El piso es el extremo bajo de ventas que reportan las fuentes ($100,000 al mes) y el techo el extremo alto ($300,000). Ninguno es una predicción: juntos marcan el terreno donde es razonable que caiga tu número. La ganancia se queda fija en 10% en las tres filas.</t>
  </si>
  <si>
    <t>Escenario</t>
  </si>
  <si>
    <t>Ventas mensuales</t>
  </si>
  <si>
    <t>Ganancia (% de las ventas)</t>
  </si>
  <si>
    <t>Ingreso diario</t>
  </si>
  <si>
    <t>Ganancia diaria</t>
  </si>
  <si>
    <t>Diferencia vs tu supuesto</t>
  </si>
  <si>
    <t>Cómo se lee esa diferencia</t>
  </si>
  <si>
    <t>Piso</t>
  </si>
  <si>
    <t>Tu supuesto</t>
  </si>
  <si>
    <t>—</t>
  </si>
  <si>
    <t>Es la fila contra la que se comparan las otras dos.</t>
  </si>
  <si>
    <t>Techo</t>
  </si>
  <si>
    <t>El 10% es LINEAL: es el mismo porcentaje sin importar cuánto vendas, por eso está igual en las tres filas. Si vendes el doble ganas el doble, ni más ni menos. Fórmulas: ingreso diario = ventas del mes ÷ 30  ·  ganancia diaria = ingreso diario × 10%</t>
  </si>
  <si>
    <t>Sobre el signo de la columna F: la resta siempre es «esta fila menos tu supuesto». En el Piso sale NEGATIVO y eso es correcto, no es una pérdida: quiere decir que el piso deja menos al día que tu supuesto, o sea que estás por arriba del piso. En el Techo sale positivo porque el techo deja más que tú. Fíjate que las dos diferencias miden lo mismo, $333.33, porque tu supuesto quedó justo a la mitad.</t>
  </si>
  <si>
    <t>2  ·  COMPARACIÓN DE PALANCAS</t>
  </si>
  <si>
    <t>Dos caminos para subir tu ganancia diaria, los dos partiendo de tu supuesto. El Camino A sube las ventas y deja la ganancia en 10%. El Camino B hace lo contrario: mismas ventas, mejor ganancia.</t>
  </si>
  <si>
    <t>Punto de partida (tu supuesto)</t>
  </si>
  <si>
    <t>Es la fila contra la que se comparan los dos caminos.</t>
  </si>
  <si>
    <t>Camino A · vender más</t>
  </si>
  <si>
    <t>Ventas a medio camino entre tu supuesto y el techo reportado. La ganancia no se mueve.</t>
  </si>
  <si>
    <t>Camino B · ganar mejor</t>
  </si>
  <si>
    <t>La ganancia sube de 10% a 15%. Las ventas no se mueven.</t>
  </si>
  <si>
    <t>Con estos números gana el Camino B. La pregunta que sigue no la resuelve la hoja: ¿qué te cuesta menos en tu negocio, vender una cuarta parte más, o ganar 5 puntos más de cada venta que ya haces?</t>
  </si>
  <si>
    <t>Ganancia por cada $100k</t>
  </si>
  <si>
    <t>Auditoría de un referente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</si>
</sst>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3"/>
      <color rgb="FF000000"/>
      <name val="Arial"/>
    </font>
    <font>
      <b/>
      <sz val="10"/>
      <color rgb="FF2B579A"/>
      <name val="Arial"/>
    </font>
    <font>
      <sz val="10"/>
      <name val="Arial"/>
    </font>
    <font>
      <sz val="9.5"/>
      <name val="Arial"/>
    </font>
    <font>
      <b/>
      <sz val="9.5"/>
      <color rgb="FFFFFFFF"/>
      <name val="Arial"/>
    </font>
    <font>
      <sz val="9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3F3F3"/>
      </patternFill>
    </fill>
    <fill>
      <patternFill patternType="solid">
        <fgColor rgb="FFFFF8EC"/>
      </patternFill>
    </fill>
    <fill>
      <patternFill patternType="solid">
        <fgColor rgb="FFFCE5CD"/>
      </patternFill>
    </fill>
  </fills>
  <borders count="2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/>
    <xf numFmtId="9" fontId="4" fillId="3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/>
    <xf numFmtId="0" fontId="7" fillId="5" borderId="1" xfId="0" applyFont="1" applyFill="1" applyBorder="1" applyAlignment="1">
      <alignment vertical="top" wrapText="1"/>
    </xf>
    <xf numFmtId="0" fontId="8" fillId="3" borderId="1" xfId="0" applyFont="1" applyFill="1" applyBorder="1"/>
    <xf numFmtId="164" fontId="4" fillId="3" borderId="1" xfId="0" applyNumberFormat="1" applyFont="1" applyFill="1" applyBorder="1"/>
    <xf numFmtId="164" fontId="8" fillId="7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0" fontId="8" fillId="5" borderId="1" xfId="0" applyFont="1" applyFill="1" applyBorder="1"/>
    <xf numFmtId="0" fontId="1" fillId="2" borderId="0" xfId="0" applyFont="1" applyFill="1" applyAlignment="1">
      <alignment vertical="center"/>
    </xf>
    <xf numFmtId="0" fontId="0" fillId="0" borderId="0" xfId="0"/>
    <xf numFmtId="0" fontId="5" fillId="6" borderId="0" xfId="0" applyFont="1" applyFill="1" applyAlignment="1">
      <alignment vertical="top" wrapText="1"/>
    </xf>
    <xf numFmtId="0" fontId="1" fillId="2" borderId="0" xfId="0" applyFont="1" applyFill="1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topLeftCell="A10" workbookViewId="0">
      <selection activeCell="I11" sqref="I11"/>
    </sheetView>
  </sheetViews>
  <sheetFormatPr defaultRowHeight="14.25" x14ac:dyDescent="0.45"/>
  <cols>
    <col min="1" max="1" width="29" customWidth="1"/>
    <col min="2" max="2" width="17" customWidth="1"/>
    <col min="3" max="4" width="18" customWidth="1"/>
    <col min="5" max="6" width="15" customWidth="1"/>
    <col min="7" max="7" width="20" customWidth="1"/>
    <col min="8" max="8" width="44" customWidth="1"/>
  </cols>
  <sheetData>
    <row r="1" spans="1:8" ht="24" customHeight="1" x14ac:dyDescent="0.45">
      <c r="A1" s="15" t="s">
        <v>0</v>
      </c>
      <c r="B1" s="16"/>
      <c r="C1" s="16"/>
      <c r="D1" s="16"/>
      <c r="E1" s="16"/>
      <c r="F1" s="16"/>
      <c r="G1" s="16"/>
      <c r="H1" s="16"/>
    </row>
    <row r="2" spans="1:8" ht="16.899999999999999" x14ac:dyDescent="0.5">
      <c r="A2" s="21" t="s">
        <v>31</v>
      </c>
      <c r="B2" s="16"/>
      <c r="C2" s="16"/>
      <c r="D2" s="16"/>
      <c r="E2" s="16"/>
      <c r="F2" s="16"/>
      <c r="G2" s="16"/>
      <c r="H2" s="16"/>
    </row>
    <row r="4" spans="1:8" x14ac:dyDescent="0.45">
      <c r="A4" s="20" t="s">
        <v>1</v>
      </c>
      <c r="B4" s="16"/>
      <c r="C4" s="16"/>
      <c r="D4" s="16"/>
      <c r="E4" s="16"/>
      <c r="F4" s="16"/>
      <c r="G4" s="16"/>
      <c r="H4" s="16"/>
    </row>
    <row r="5" spans="1:8" x14ac:dyDescent="0.45">
      <c r="A5" s="1"/>
      <c r="B5" s="19" t="s">
        <v>2</v>
      </c>
      <c r="C5" s="16"/>
      <c r="D5" s="16"/>
      <c r="E5" s="16"/>
      <c r="F5" s="16"/>
      <c r="G5" s="16"/>
      <c r="H5" s="16"/>
    </row>
    <row r="6" spans="1:8" x14ac:dyDescent="0.45">
      <c r="A6" s="2"/>
      <c r="B6" s="19" t="s">
        <v>3</v>
      </c>
      <c r="C6" s="16"/>
      <c r="D6" s="16"/>
      <c r="E6" s="16"/>
      <c r="F6" s="16"/>
      <c r="G6" s="16"/>
      <c r="H6" s="16"/>
    </row>
    <row r="7" spans="1:8" x14ac:dyDescent="0.45">
      <c r="A7" s="3"/>
      <c r="B7" s="19" t="s">
        <v>4</v>
      </c>
      <c r="C7" s="16"/>
      <c r="D7" s="16"/>
      <c r="E7" s="16"/>
      <c r="F7" s="16"/>
      <c r="G7" s="16"/>
      <c r="H7" s="16"/>
    </row>
    <row r="9" spans="1:8" x14ac:dyDescent="0.45">
      <c r="A9" s="18" t="s">
        <v>5</v>
      </c>
      <c r="B9" s="16"/>
      <c r="C9" s="16"/>
      <c r="D9" s="16"/>
      <c r="E9" s="16"/>
      <c r="F9" s="16"/>
      <c r="G9" s="16"/>
      <c r="H9" s="16"/>
    </row>
    <row r="10" spans="1:8" ht="38" customHeight="1" x14ac:dyDescent="0.45">
      <c r="A10" s="17" t="s">
        <v>6</v>
      </c>
      <c r="B10" s="16"/>
      <c r="C10" s="16"/>
      <c r="D10" s="16"/>
      <c r="E10" s="16"/>
      <c r="F10" s="16"/>
      <c r="G10" s="16"/>
      <c r="H10" s="16"/>
    </row>
    <row r="11" spans="1:8" ht="32" customHeight="1" x14ac:dyDescent="0.45">
      <c r="A11" s="4" t="s">
        <v>7</v>
      </c>
      <c r="B11" s="4" t="s">
        <v>8</v>
      </c>
      <c r="C11" s="4" t="s">
        <v>9</v>
      </c>
      <c r="D11" s="4" t="s">
        <v>30</v>
      </c>
      <c r="E11" s="4" t="s">
        <v>10</v>
      </c>
      <c r="F11" s="4" t="s">
        <v>11</v>
      </c>
      <c r="G11" s="4" t="s">
        <v>12</v>
      </c>
      <c r="H11" s="4" t="s">
        <v>13</v>
      </c>
    </row>
    <row r="12" spans="1:8" ht="30" customHeight="1" x14ac:dyDescent="0.45">
      <c r="A12" s="2" t="s">
        <v>14</v>
      </c>
      <c r="B12" s="5">
        <v>100000</v>
      </c>
      <c r="C12" s="6">
        <v>0.1</v>
      </c>
      <c r="D12" s="7">
        <f>B12*C12</f>
        <v>10000</v>
      </c>
      <c r="E12" s="7">
        <f>B12/30</f>
        <v>3333.3333333333335</v>
      </c>
      <c r="F12" s="7">
        <f>E12*C12</f>
        <v>333.33333333333337</v>
      </c>
      <c r="G12" s="7">
        <f>F12-$F$13</f>
        <v>-333.33333333333337</v>
      </c>
      <c r="H12" s="8" t="str">
        <f>IF(G12&lt;0,"Este escenario deja MENOS al día que tu supuesto. Estar por arriba de él es buena señal.",IF(G12&gt;0,"Este escenario deja MÁS al día que tu supuesto: tu supuesto se queda corto frente a él.","Igual que tu supuesto."))</f>
        <v>Este escenario deja MENOS al día que tu supuesto. Estar por arriba de él es buena señal.</v>
      </c>
    </row>
    <row r="13" spans="1:8" ht="30" customHeight="1" x14ac:dyDescent="0.45">
      <c r="A13" s="9" t="s">
        <v>15</v>
      </c>
      <c r="B13" s="10">
        <v>200000</v>
      </c>
      <c r="C13" s="6">
        <v>0.1</v>
      </c>
      <c r="D13" s="7">
        <f t="shared" ref="D13:D14" si="0">B13*C13</f>
        <v>20000</v>
      </c>
      <c r="E13" s="7">
        <f>B13/30</f>
        <v>6666.666666666667</v>
      </c>
      <c r="F13" s="11">
        <f>E13*C13</f>
        <v>666.66666666666674</v>
      </c>
      <c r="G13" s="12" t="s">
        <v>16</v>
      </c>
      <c r="H13" s="8" t="s">
        <v>17</v>
      </c>
    </row>
    <row r="14" spans="1:8" ht="30" customHeight="1" x14ac:dyDescent="0.45">
      <c r="A14" s="2" t="s">
        <v>18</v>
      </c>
      <c r="B14" s="5">
        <v>300000</v>
      </c>
      <c r="C14" s="6">
        <v>0.1</v>
      </c>
      <c r="D14" s="7">
        <f t="shared" si="0"/>
        <v>30000</v>
      </c>
      <c r="E14" s="7">
        <f>B14/30</f>
        <v>10000</v>
      </c>
      <c r="F14" s="7">
        <f>E14*C14</f>
        <v>1000</v>
      </c>
      <c r="G14" s="7">
        <f>F14-$F$13</f>
        <v>333.33333333333326</v>
      </c>
      <c r="H14" s="8" t="str">
        <f>IF(G14&lt;0,"Este escenario deja MENOS al día que tu supuesto. Estar por arriba de él es buena señal.",IF(G14&gt;0,"Este escenario deja MÁS al día que tu supuesto: tu supuesto se queda corto frente a él.","Igual que tu supuesto."))</f>
        <v>Este escenario deja MÁS al día que tu supuesto: tu supuesto se queda corto frente a él.</v>
      </c>
    </row>
    <row r="15" spans="1:8" ht="38" customHeight="1" x14ac:dyDescent="0.45">
      <c r="A15" s="17" t="s">
        <v>19</v>
      </c>
      <c r="B15" s="16"/>
      <c r="C15" s="16"/>
      <c r="D15" s="16"/>
      <c r="E15" s="16"/>
      <c r="F15" s="16"/>
      <c r="G15" s="16"/>
      <c r="H15" s="16"/>
    </row>
    <row r="16" spans="1:8" ht="50" customHeight="1" x14ac:dyDescent="0.45">
      <c r="A16" s="17" t="s">
        <v>20</v>
      </c>
      <c r="B16" s="16"/>
      <c r="C16" s="16"/>
      <c r="D16" s="16"/>
      <c r="E16" s="16"/>
      <c r="F16" s="16"/>
      <c r="G16" s="16"/>
      <c r="H16" s="16"/>
    </row>
    <row r="18" spans="1:8" x14ac:dyDescent="0.45">
      <c r="A18" s="18" t="s">
        <v>21</v>
      </c>
      <c r="B18" s="16"/>
      <c r="C18" s="16"/>
      <c r="D18" s="16"/>
      <c r="E18" s="16"/>
      <c r="F18" s="16"/>
      <c r="G18" s="16"/>
      <c r="H18" s="16"/>
    </row>
    <row r="19" spans="1:8" ht="30" customHeight="1" x14ac:dyDescent="0.45">
      <c r="A19" s="17" t="s">
        <v>22</v>
      </c>
      <c r="B19" s="16"/>
      <c r="C19" s="16"/>
      <c r="D19" s="16"/>
      <c r="E19" s="16"/>
      <c r="F19" s="16"/>
      <c r="G19" s="16"/>
      <c r="H19" s="16"/>
    </row>
    <row r="20" spans="1:8" ht="32" customHeight="1" x14ac:dyDescent="0.45">
      <c r="A20" s="4" t="s">
        <v>7</v>
      </c>
      <c r="B20" s="4" t="s">
        <v>8</v>
      </c>
      <c r="C20" s="4" t="s">
        <v>9</v>
      </c>
      <c r="D20" s="4" t="s">
        <v>30</v>
      </c>
      <c r="E20" s="4" t="s">
        <v>10</v>
      </c>
      <c r="F20" s="4" t="s">
        <v>11</v>
      </c>
      <c r="G20" s="4" t="s">
        <v>12</v>
      </c>
      <c r="H20" s="4" t="s">
        <v>13</v>
      </c>
    </row>
    <row r="21" spans="1:8" ht="28.05" customHeight="1" x14ac:dyDescent="0.45">
      <c r="A21" s="3" t="s">
        <v>23</v>
      </c>
      <c r="B21" s="7">
        <f>B13</f>
        <v>200000</v>
      </c>
      <c r="C21" s="13">
        <f>C13</f>
        <v>0.1</v>
      </c>
      <c r="D21" s="7">
        <f>B21*C21</f>
        <v>20000</v>
      </c>
      <c r="E21" s="7">
        <f>B21/30</f>
        <v>6666.666666666667</v>
      </c>
      <c r="F21" s="11">
        <f>E21*C21</f>
        <v>666.66666666666674</v>
      </c>
      <c r="G21" s="12" t="s">
        <v>16</v>
      </c>
      <c r="H21" s="8" t="s">
        <v>24</v>
      </c>
    </row>
    <row r="22" spans="1:8" ht="28.05" customHeight="1" x14ac:dyDescent="0.45">
      <c r="A22" s="14" t="s">
        <v>25</v>
      </c>
      <c r="B22" s="10">
        <v>250000</v>
      </c>
      <c r="C22" s="13">
        <f>C13</f>
        <v>0.1</v>
      </c>
      <c r="D22" s="7">
        <f t="shared" ref="D22:D23" si="1">B22*C22</f>
        <v>25000</v>
      </c>
      <c r="E22" s="7">
        <f>B22/30</f>
        <v>8333.3333333333339</v>
      </c>
      <c r="F22" s="7">
        <f>E22*C22</f>
        <v>833.33333333333348</v>
      </c>
      <c r="G22" s="11">
        <f>F22-$F$21</f>
        <v>166.66666666666674</v>
      </c>
      <c r="H22" s="8" t="s">
        <v>26</v>
      </c>
    </row>
    <row r="23" spans="1:8" ht="28.05" customHeight="1" x14ac:dyDescent="0.45">
      <c r="A23" s="14" t="s">
        <v>27</v>
      </c>
      <c r="B23" s="7">
        <f>B13</f>
        <v>200000</v>
      </c>
      <c r="C23" s="6">
        <v>0.15</v>
      </c>
      <c r="D23" s="7">
        <f t="shared" si="1"/>
        <v>30000</v>
      </c>
      <c r="E23" s="7">
        <f>B23/30</f>
        <v>6666.666666666667</v>
      </c>
      <c r="F23" s="7">
        <f>E23*C23</f>
        <v>1000</v>
      </c>
      <c r="G23" s="11">
        <f>F23-$F$21</f>
        <v>333.33333333333326</v>
      </c>
      <c r="H23" s="8" t="s">
        <v>28</v>
      </c>
    </row>
    <row r="24" spans="1:8" ht="30" customHeight="1" x14ac:dyDescent="0.45">
      <c r="A24" s="17" t="s">
        <v>29</v>
      </c>
      <c r="B24" s="16"/>
      <c r="C24" s="16"/>
      <c r="D24" s="16"/>
      <c r="E24" s="16"/>
      <c r="F24" s="16"/>
      <c r="G24" s="16"/>
      <c r="H24" s="16"/>
    </row>
  </sheetData>
  <mergeCells count="13">
    <mergeCell ref="A19:H19"/>
    <mergeCell ref="B7:H7"/>
    <mergeCell ref="A4:H4"/>
    <mergeCell ref="A24:H24"/>
    <mergeCell ref="A2:H2"/>
    <mergeCell ref="A16:H16"/>
    <mergeCell ref="A15:H15"/>
    <mergeCell ref="B6:H6"/>
    <mergeCell ref="A1:H1"/>
    <mergeCell ref="A10:H10"/>
    <mergeCell ref="A9:H9"/>
    <mergeCell ref="B5:H5"/>
    <mergeCell ref="A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 taqueria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Galdamez</cp:lastModifiedBy>
  <dcterms:created xsi:type="dcterms:W3CDTF">2026-08-06T19:37:44Z</dcterms:created>
  <dcterms:modified xsi:type="dcterms:W3CDTF">2026-08-06T19:46:42Z</dcterms:modified>
</cp:coreProperties>
</file>