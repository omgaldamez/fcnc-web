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oria taqueria" sheetId="1" state="visible" r:id="rId1"/>
  </sheets>
  <definedNames/>
  <calcPr calcId="124519" fullCalcOnLoad="1"/>
</workbook>
</file>

<file path=xl/styles.xml><?xml version="1.0" encoding="utf-8"?>
<styleSheet xmlns="http://schemas.openxmlformats.org/spreadsheetml/2006/main">
  <numFmts count="1">
    <numFmt numFmtId="164" formatCode="$#,##0.00"/>
  </numFmts>
  <fonts count="10">
    <font>
      <name val="Calibri"/>
      <family val="2"/>
      <color theme="1"/>
      <sz val="11"/>
      <scheme val="minor"/>
    </font>
    <font>
      <name val="Arial"/>
      <b val="1"/>
      <color rgb="00FFFFFF"/>
      <sz val="11"/>
    </font>
    <font>
      <name val="Arial"/>
      <b val="1"/>
      <color rgb="00000000"/>
      <sz val="13"/>
    </font>
    <font>
      <name val="Arial"/>
      <sz val="10"/>
    </font>
    <font>
      <name val="Arial"/>
      <b val="1"/>
      <color rgb="002B579A"/>
      <sz val="10"/>
    </font>
    <font>
      <name val="Arial"/>
      <sz val="9.5"/>
    </font>
    <font>
      <name val="Arial"/>
      <b val="1"/>
      <color rgb="00000000"/>
      <sz val="10"/>
    </font>
    <font>
      <name val="Arial"/>
      <b val="1"/>
      <color rgb="00000000"/>
      <sz val="11"/>
    </font>
    <font>
      <name val="Arial"/>
      <b val="1"/>
      <color rgb="00FFFFFF"/>
      <sz val="9.5"/>
    </font>
    <font>
      <name val="Arial"/>
      <sz val="9"/>
    </font>
  </fonts>
  <fills count="8">
    <fill>
      <patternFill/>
    </fill>
    <fill>
      <patternFill patternType="gray125"/>
    </fill>
    <fill>
      <patternFill patternType="solid">
        <fgColor rgb="002B579A"/>
      </patternFill>
    </fill>
    <fill>
      <patternFill patternType="solid">
        <fgColor rgb="00D9EAD3"/>
      </patternFill>
    </fill>
    <fill>
      <patternFill patternType="solid">
        <fgColor rgb="00CFE2F3"/>
      </patternFill>
    </fill>
    <fill>
      <patternFill patternType="solid">
        <fgColor rgb="00F3F3F3"/>
      </patternFill>
    </fill>
    <fill>
      <patternFill patternType="solid">
        <fgColor rgb="00FFF8EC"/>
      </patternFill>
    </fill>
    <fill>
      <patternFill patternType="solid">
        <fgColor rgb="00FCE5CD"/>
      </patternFill>
    </fill>
  </fills>
  <borders count="2">
    <border>
      <left/>
      <right/>
      <top/>
      <bottom/>
      <diagonal/>
    </border>
    <border>
      <left style="thin">
        <color rgb="00C9CDD3"/>
      </left>
      <right style="thin">
        <color rgb="00C9CDD3"/>
      </right>
      <top style="thin">
        <color rgb="00C9CDD3"/>
      </top>
      <bottom style="thin">
        <color rgb="00C9CDD3"/>
      </bottom>
    </border>
  </borders>
  <cellStyleXfs count="1">
    <xf numFmtId="0" fontId="0" fillId="0" borderId="0"/>
  </cellStyleXfs>
  <cellXfs count="24">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pivotButton="0" quotePrefix="0" xfId="0"/>
    <xf numFmtId="0" fontId="4" fillId="0" borderId="0" pivotButton="0" quotePrefix="0" xfId="0"/>
    <xf numFmtId="0" fontId="3" fillId="3" borderId="1" pivotButton="0" quotePrefix="0" xfId="0"/>
    <xf numFmtId="0" fontId="3" fillId="4" borderId="1" pivotButton="0" quotePrefix="0" xfId="0"/>
    <xf numFmtId="0" fontId="3" fillId="5" borderId="1" pivotButton="0" quotePrefix="0" xfId="0"/>
    <xf numFmtId="0" fontId="1" fillId="2" borderId="0" pivotButton="0" quotePrefix="0" xfId="0"/>
    <xf numFmtId="0" fontId="5" fillId="6" borderId="0" applyAlignment="1" pivotButton="0" quotePrefix="0" xfId="0">
      <alignment vertical="top" wrapText="1"/>
    </xf>
    <xf numFmtId="0" fontId="6" fillId="0" borderId="0" pivotButton="0" quotePrefix="0" xfId="0"/>
    <xf numFmtId="164" fontId="7" fillId="3" borderId="1" applyAlignment="1" pivotButton="0" quotePrefix="0" xfId="0">
      <alignment horizontal="center"/>
    </xf>
    <xf numFmtId="0" fontId="5" fillId="0" borderId="0" applyAlignment="1" pivotButton="0" quotePrefix="0" xfId="0">
      <alignment vertical="top" wrapText="1"/>
    </xf>
    <xf numFmtId="0" fontId="8" fillId="2" borderId="1" applyAlignment="1" pivotButton="0" quotePrefix="0" xfId="0">
      <alignment horizontal="center" vertical="center" wrapText="1"/>
    </xf>
    <xf numFmtId="164" fontId="3" fillId="4" borderId="1" pivotButton="0" quotePrefix="0" xfId="0"/>
    <xf numFmtId="164" fontId="3" fillId="5" borderId="1" pivotButton="0" quotePrefix="0" xfId="0"/>
    <xf numFmtId="0" fontId="9" fillId="5" borderId="1" applyAlignment="1" pivotButton="0" quotePrefix="0" xfId="0">
      <alignment vertical="top" wrapText="1"/>
    </xf>
    <xf numFmtId="0" fontId="6" fillId="3" borderId="1" pivotButton="0" quotePrefix="0" xfId="0"/>
    <xf numFmtId="164" fontId="3" fillId="3" borderId="1" pivotButton="0" quotePrefix="0" xfId="0"/>
    <xf numFmtId="164" fontId="6" fillId="7" borderId="1" pivotButton="0" quotePrefix="0" xfId="0"/>
    <xf numFmtId="0" fontId="3" fillId="5" borderId="1" applyAlignment="1" pivotButton="0" quotePrefix="0" xfId="0">
      <alignment horizontal="center"/>
    </xf>
    <xf numFmtId="0" fontId="6" fillId="5" borderId="1" pivotButton="0" quotePrefix="0" xfId="0"/>
    <xf numFmtId="9" fontId="7" fillId="3" borderId="1" applyAlignment="1" pivotButton="0" quotePrefix="0" xfId="0">
      <alignment horizont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
  <sheetViews>
    <sheetView showGridLines="0" workbookViewId="0">
      <pane ySplit="16" topLeftCell="A17" activePane="bottomLeft" state="frozen"/>
      <selection pane="bottomLeft" activeCell="A1" sqref="A1"/>
    </sheetView>
  </sheetViews>
  <sheetFormatPr baseColWidth="8" defaultRowHeight="15"/>
  <cols>
    <col width="31" customWidth="1" min="1" max="1"/>
    <col width="17" customWidth="1" min="2" max="2"/>
    <col width="19" customWidth="1" min="3" max="3"/>
    <col width="15" customWidth="1" min="4" max="4"/>
    <col width="15" customWidth="1" min="5" max="5"/>
    <col width="20" customWidth="1" min="6" max="6"/>
    <col width="42" customWidth="1" min="7" max="7"/>
  </cols>
  <sheetData>
    <row r="1" ht="24" customHeight="1">
      <c r="A1" s="1" t="inlineStr">
        <is>
          <t>FUNDAMENTOS CUANTITATIVOS PARA NEGOCIOS CREATIVOS  ·  SEMANA 1</t>
        </is>
      </c>
    </row>
    <row r="2">
      <c r="A2" s="2" t="inlineStr">
        <is>
          <t>Auditoría de un referente: taquería  ·  Plantilla de trabajo</t>
        </is>
      </c>
    </row>
    <row r="3">
      <c r="A3" s="3" t="inlineStr">
        <is>
          <t>Métrica de la sesión: ganancia por cada $100,000 vendidos</t>
        </is>
      </c>
    </row>
    <row r="5">
      <c r="A5" s="4" t="inlineStr">
        <is>
          <t>CÓMO LEER LOS COLORES DE ESTA HOJA</t>
        </is>
      </c>
    </row>
    <row r="6">
      <c r="A6" s="5" t="inlineStr"/>
      <c r="B6" s="3" t="inlineStr">
        <is>
          <t>VERDE · celda que tú editas. Es un supuesto tuyo: cámbialo y todo lo demás se recalcula solo.</t>
        </is>
      </c>
    </row>
    <row r="7">
      <c r="A7" s="6" t="inlineStr"/>
      <c r="B7" s="3" t="inlineStr">
        <is>
          <t>AZUL · dato reportado por la fuente. No lo cambies: es el terreno contra el que te comparas.</t>
        </is>
      </c>
    </row>
    <row r="8">
      <c r="A8" s="7" t="inlineStr"/>
      <c r="B8" s="3" t="inlineStr">
        <is>
          <t>GRIS · celda calculada por una fórmula. No escribas aquí, se sobrescribe la fórmula.</t>
        </is>
      </c>
    </row>
    <row r="10">
      <c r="A10" s="8" t="inlineStr">
        <is>
          <t>1  ·  EL SUPUESTO DE GANANCIA, EN UNA SOLA CELDA</t>
        </is>
      </c>
    </row>
    <row r="11" ht="30" customHeight="1">
      <c r="A11" s="9" t="inlineStr">
        <is>
          <t>Todo el modelo usa una misma ganancia por cada $100,000 vendidos, y vive en la celda verde de abajo. Se escribe una vez y las tres filas del bloque 2 la leen de ahí. Cámbiala y los tres escenarios se mueven juntos.</t>
        </is>
      </c>
    </row>
    <row r="12" ht="30" customHeight="1">
      <c r="A12" s="10" t="inlineStr">
        <is>
          <t>Ganancia por cada $100,000</t>
        </is>
      </c>
      <c r="B12" s="11" t="n">
        <v>10000</v>
      </c>
      <c r="C12" s="12" t="inlineStr">
        <is>
          <t>Equivale a 10 centavos de ganancia por cada peso vendido. El rango que reportan las fuentes va de $10,000 a $20,000: este valor es el extremo conservador.</t>
        </is>
      </c>
    </row>
    <row r="14">
      <c r="A14" s="8" t="inlineStr">
        <is>
          <t>2  ·  PISO, TU SUPUESTO Y TECHO</t>
        </is>
      </c>
    </row>
    <row r="15" ht="44" customHeight="1">
      <c r="A15" s="9" t="inlineStr">
        <is>
          <t>Aquí lo único que cambia entre las tres filas son las ventas del mes: el piso toma el extremo bajo que reportan las fuentes ($100,000) y el techo el extremo alto ($300,000). La ganancia por cada $100,000 es la misma en las tres, la de la celda de arriba. Ni el piso ni el techo son una predicción: juntos marcan el terreno donde es razonable que caiga tu número.</t>
        </is>
      </c>
    </row>
    <row r="16" ht="32" customHeight="1">
      <c r="A16" s="13" t="inlineStr">
        <is>
          <t>Escenario</t>
        </is>
      </c>
      <c r="B16" s="13" t="inlineStr">
        <is>
          <t>Ventas mensuales</t>
        </is>
      </c>
      <c r="C16" s="13" t="inlineStr">
        <is>
          <t>Ganancia por cada $100,000</t>
        </is>
      </c>
      <c r="D16" s="13" t="inlineStr">
        <is>
          <t>Ingreso diario</t>
        </is>
      </c>
      <c r="E16" s="13" t="inlineStr">
        <is>
          <t>Ganancia diaria</t>
        </is>
      </c>
      <c r="F16" s="13" t="inlineStr">
        <is>
          <t>Diferencia vs tu supuesto</t>
        </is>
      </c>
      <c r="G16" s="13" t="inlineStr">
        <is>
          <t>Cómo se lee esa diferencia</t>
        </is>
      </c>
    </row>
    <row r="17" ht="30" customHeight="1">
      <c r="A17" s="6" t="inlineStr">
        <is>
          <t>Piso</t>
        </is>
      </c>
      <c r="B17" s="14" t="n">
        <v>100000</v>
      </c>
      <c r="C17" s="15">
        <f>$B$12</f>
        <v/>
      </c>
      <c r="D17" s="15">
        <f>B17/30</f>
        <v/>
      </c>
      <c r="E17" s="15">
        <f>D17*(C17/100000)</f>
        <v/>
      </c>
      <c r="F17" s="15">
        <f>E17-$E$18</f>
        <v/>
      </c>
      <c r="G17" s="16">
        <f>IF(F17&lt;0,"Este escenario deja MENOS al día que tu supuesto. Estar por arriba de él es buena señal.",IF(F17&gt;0,"Este escenario deja MÁS al día que tu supuesto: tu supuesto se queda corto frente a él.","Igual que tu supuesto."))</f>
        <v/>
      </c>
    </row>
    <row r="18" ht="30" customHeight="1">
      <c r="A18" s="17" t="inlineStr">
        <is>
          <t>Tu supuesto</t>
        </is>
      </c>
      <c r="B18" s="18" t="n">
        <v>200000</v>
      </c>
      <c r="C18" s="15">
        <f>$B$12</f>
        <v/>
      </c>
      <c r="D18" s="15">
        <f>B18/30</f>
        <v/>
      </c>
      <c r="E18" s="19">
        <f>D18*(C18/100000)</f>
        <v/>
      </c>
      <c r="F18" s="20" t="inlineStr">
        <is>
          <t>—</t>
        </is>
      </c>
      <c r="G18" s="16" t="inlineStr">
        <is>
          <t>Es la fila contra la que se comparan las otras dos.</t>
        </is>
      </c>
    </row>
    <row r="19" ht="30" customHeight="1">
      <c r="A19" s="6" t="inlineStr">
        <is>
          <t>Techo</t>
        </is>
      </c>
      <c r="B19" s="14" t="n">
        <v>300000</v>
      </c>
      <c r="C19" s="15">
        <f>$B$12</f>
        <v/>
      </c>
      <c r="D19" s="15">
        <f>B19/30</f>
        <v/>
      </c>
      <c r="E19" s="15">
        <f>D19*(C19/100000)</f>
        <v/>
      </c>
      <c r="F19" s="15">
        <f>E19-$E$18</f>
        <v/>
      </c>
      <c r="G19" s="16">
        <f>IF(F19&lt;0,"Este escenario deja MENOS al día que tu supuesto. Estar por arriba de él es buena señal.",IF(F19&gt;0,"Este escenario deja MÁS al día que tu supuesto: tu supuesto se queda corto frente a él.","Igual que tu supuesto."))</f>
        <v/>
      </c>
    </row>
    <row r="20">
      <c r="A20" s="9" t="inlineStr">
        <is>
          <t>Fórmulas: ingreso diario = ventas del mes ÷ 30  ·  ganancia diaria = ingreso diario × (ganancia por cada $100,000 ÷ 100,000)</t>
        </is>
      </c>
    </row>
    <row r="21" ht="52" customHeight="1">
      <c r="A21" s="9" t="inlineStr">
        <is>
          <t>Sobre el signo de la columna F: la resta siempre es «esta fila menos tu supuesto». En el Piso el resultado sale NEGATIVO y eso es correcto, no es una pérdida: quiere decir que el piso deja menos al día que tu supuesto, o sea que estás por arriba del piso. En el Techo sale positivo porque el techo deja más que tú. Fíjate que las dos diferencias salen del mismo tamaño, $333.33, porque tu supuesto quedó justo a la mitad entre el piso y el techo.</t>
        </is>
      </c>
    </row>
    <row r="23">
      <c r="A23" s="8" t="inlineStr">
        <is>
          <t>3  ·  COMPARACIÓN DE PALANCAS</t>
        </is>
      </c>
    </row>
    <row r="24" ht="48" customHeight="1">
      <c r="A24" s="9" t="inlineStr">
        <is>
          <t>Dos caminos para subir tu ganancia diaria, los dos partiendo de tu supuesto. El Camino A sube las ventas y deja la ganancia por cada $100,000 como está. El Camino B hace lo contrario: aquí la celda de ganancia SÍ se mueve, porque estamos preguntando cuánto rendiría moverla. Los dos avanzan a medio camino del techo reportado de su propia dimensión, para que la comparación no salga de la nada.</t>
        </is>
      </c>
    </row>
    <row r="25" ht="32" customHeight="1">
      <c r="A25" s="13" t="inlineStr">
        <is>
          <t>Escenario</t>
        </is>
      </c>
      <c r="B25" s="13" t="inlineStr">
        <is>
          <t>Ventas mensuales</t>
        </is>
      </c>
      <c r="C25" s="13" t="inlineStr">
        <is>
          <t>Ganancia por cada $100,000</t>
        </is>
      </c>
      <c r="D25" s="13" t="inlineStr">
        <is>
          <t>Ingreso diario</t>
        </is>
      </c>
      <c r="E25" s="13" t="inlineStr">
        <is>
          <t>Ganancia diaria</t>
        </is>
      </c>
      <c r="F25" s="13" t="inlineStr">
        <is>
          <t>Diferencia vs tu supuesto</t>
        </is>
      </c>
      <c r="G25" s="13" t="inlineStr">
        <is>
          <t>Cómo se lee esa diferencia</t>
        </is>
      </c>
    </row>
    <row r="26" ht="28" customHeight="1">
      <c r="A26" s="7" t="inlineStr">
        <is>
          <t>Punto de partida (tu supuesto)</t>
        </is>
      </c>
      <c r="B26" s="15">
        <f>B18</f>
        <v/>
      </c>
      <c r="C26" s="15">
        <f>$B$12</f>
        <v/>
      </c>
      <c r="D26" s="15">
        <f>B26/30</f>
        <v/>
      </c>
      <c r="E26" s="19">
        <f>D26*(C26/100000)</f>
        <v/>
      </c>
      <c r="F26" s="20" t="inlineStr">
        <is>
          <t>—</t>
        </is>
      </c>
      <c r="G26" s="16" t="inlineStr">
        <is>
          <t>Es la fila contra la que se comparan los dos caminos.</t>
        </is>
      </c>
    </row>
    <row r="27" ht="28" customHeight="1">
      <c r="A27" s="21" t="inlineStr">
        <is>
          <t>Camino A · vender más</t>
        </is>
      </c>
      <c r="B27" s="18" t="n">
        <v>250000</v>
      </c>
      <c r="C27" s="15">
        <f>$B$12</f>
        <v/>
      </c>
      <c r="D27" s="15">
        <f>B27/30</f>
        <v/>
      </c>
      <c r="E27" s="15">
        <f>D27*(C27/100000)</f>
        <v/>
      </c>
      <c r="F27" s="19">
        <f>E27-$E$26</f>
        <v/>
      </c>
      <c r="G27" s="16" t="inlineStr">
        <is>
          <t>Ventas a medio camino entre tu supuesto ($200,000) y el techo reportado ($300,000).</t>
        </is>
      </c>
    </row>
    <row r="28" ht="28" customHeight="1">
      <c r="A28" s="21" t="inlineStr">
        <is>
          <t>Camino B · ganar mejor</t>
        </is>
      </c>
      <c r="B28" s="15">
        <f>B18</f>
        <v/>
      </c>
      <c r="C28" s="18" t="n">
        <v>15000</v>
      </c>
      <c r="D28" s="15">
        <f>B28/30</f>
        <v/>
      </c>
      <c r="E28" s="15">
        <f>D28*(C28/100000)</f>
        <v/>
      </c>
      <c r="F28" s="19">
        <f>E28-$E$26</f>
        <v/>
      </c>
      <c r="G28" s="16" t="inlineStr">
        <is>
          <t>Ganancia a medio camino entre la celda de arriba ($10,000) y el techo reportado ($20,000).</t>
        </is>
      </c>
    </row>
    <row r="29" ht="44" customHeight="1">
      <c r="A29" s="9" t="inlineStr">
        <is>
          <t>Con estos valores gana el Camino B. Antes de concluir, fíjate en el tamaño de cada empujón: A sube las ventas una cuarta parte y B sube la ganancia por cada $100,000 a la mitad más. La regla que usamos para elegirlos es la misma («a medio camino del techo»), pero eso no los vuelve del mismo tamaño. El bloque 4 sirve justo para ver qué pasa cuando sí lo son.</t>
        </is>
      </c>
    </row>
    <row r="31">
      <c r="A31" s="8" t="inlineStr">
        <is>
          <t>4  ·  EXPLORACIÓN: ¿Y SI LOS DOS EMPUJONES FUERAN IGUALES?</t>
        </is>
      </c>
    </row>
    <row r="32" ht="28" customHeight="1">
      <c r="A32" s="9" t="inlineStr">
        <is>
          <t>Aquí los dos caminos reciben un empujón de la misma proporción, controlado por una sola celda. Cambia el número y observa qué les pasa.</t>
        </is>
      </c>
    </row>
    <row r="33">
      <c r="A33" s="10" t="inlineStr">
        <is>
          <t>Tamaño del empujón</t>
        </is>
      </c>
      <c r="B33" s="22" t="n">
        <v>0.25</v>
      </c>
      <c r="C33" s="23" t="inlineStr">
        <is>
          <t>Prueba 10%, 25%, 50%. El mismo empujón se aplica a los dos caminos.</t>
        </is>
      </c>
    </row>
    <row r="34" ht="32" customHeight="1">
      <c r="A34" s="13" t="inlineStr">
        <is>
          <t>Escenario</t>
        </is>
      </c>
      <c r="B34" s="13" t="inlineStr">
        <is>
          <t>Ventas mensuales</t>
        </is>
      </c>
      <c r="C34" s="13" t="inlineStr">
        <is>
          <t>Ganancia por cada $100,000</t>
        </is>
      </c>
      <c r="D34" s="13" t="inlineStr">
        <is>
          <t>Ingreso diario</t>
        </is>
      </c>
      <c r="E34" s="13" t="inlineStr">
        <is>
          <t>Ganancia diaria</t>
        </is>
      </c>
      <c r="F34" s="13" t="inlineStr">
        <is>
          <t>Diferencia vs tu supuesto</t>
        </is>
      </c>
      <c r="G34" s="13" t="inlineStr">
        <is>
          <t>Cómo se lee esa diferencia</t>
        </is>
      </c>
    </row>
    <row r="35" ht="28" customHeight="1">
      <c r="A35" s="21" t="inlineStr">
        <is>
          <t>Camino A ajustado · vender más</t>
        </is>
      </c>
      <c r="B35" s="15">
        <f>B18*(1+$B$33)</f>
        <v/>
      </c>
      <c r="C35" s="15">
        <f>$B$12</f>
        <v/>
      </c>
      <c r="D35" s="15">
        <f>B35/30</f>
        <v/>
      </c>
      <c r="E35" s="15">
        <f>D35*(C35/100000)</f>
        <v/>
      </c>
      <c r="F35" s="19">
        <f>E35-$E$26</f>
        <v/>
      </c>
      <c r="G35" s="16" t="inlineStr">
        <is>
          <t>Sube solo las ventas, en la proporción de la celda verde.</t>
        </is>
      </c>
    </row>
    <row r="36" ht="28" customHeight="1">
      <c r="A36" s="21" t="inlineStr">
        <is>
          <t>Camino B ajustado · ganar mejor</t>
        </is>
      </c>
      <c r="B36" s="15">
        <f>B18</f>
        <v/>
      </c>
      <c r="C36" s="15">
        <f>$B$12*(1+$B$33)</f>
        <v/>
      </c>
      <c r="D36" s="15">
        <f>B36/30</f>
        <v/>
      </c>
      <c r="E36" s="15">
        <f>D36*(C36/100000)</f>
        <v/>
      </c>
      <c r="F36" s="19">
        <f>E36-$E$26</f>
        <v/>
      </c>
      <c r="G36" s="16" t="inlineStr">
        <is>
          <t>Sube solo la ganancia por cada $100,000, en la misma proporción.</t>
        </is>
      </c>
    </row>
    <row r="37" ht="56" customHeight="1">
      <c r="A37" s="9" t="inlineStr">
        <is>
          <t>Lo que vas a encontrar: empatan exacto, y siguen empatando con cualquier número que pongas. No es un error de la hoja. Un empujón de la misma proporción multiplica la misma cadena, sin importar por cuál de los dos eslabones entres. Entonces la pregunta que sí decide no es cuál rinde más aquí, sino cuál de los dos empujones es más realista de conseguir: ¿te cuesta menos vender una cuarta parte más, o ganar una cuarta parte más por cada $100,000 que ya vendes? En la Semana 2 vamos a usar esto.</t>
        </is>
      </c>
    </row>
    <row r="39">
      <c r="A39" s="8" t="inlineStr">
        <is>
          <t>5  ·  NOTAS DE LA SESIÓN</t>
        </is>
      </c>
    </row>
    <row r="40" ht="52" customHeight="1">
      <c r="A40" s="9" t="inlineStr">
        <is>
          <t>Cómo quedó el supuesto de ganancia y por qué: en clase salió la pregunta de por qué $15,000. Era una pregunta buena. La respuesta que elegimos fue dejar de mover ese número entre escenarios: ahora vive en una sola celda, vale $10,000 por cada $100,000 (el extremo conservador de lo reportado), y las tres filas del bloque 2 la leen de ahí. Así el piso, tu supuesto y el techo se diferencian solo por las ventas, que es lo que queríamos comparar.</t>
        </is>
      </c>
    </row>
    <row r="41" ht="56" customHeight="1">
      <c r="A41" s="9" t="inlineStr">
        <is>
          <t>Corrección respecto a la hoja que armamos en vivo: ahí la ganancia quedó escrita como «ventas ÷ 10». La intención era fijarla, pero esa fórmula hace lo contrario: la vuelve dependiente de las ventas, así que a $300,000 daba $30,000 por cada $100,000, o sea 30%. El efecto era que la ganancia diaria crecía al cuadrado: triplicar las ventas multiplicaba la ganancia por nueve en vez de por tres. Coincidía solo en el piso, por eso pasó desapercibido. Fijar un número y calcularlo no son lo mismo.</t>
        </is>
      </c>
    </row>
    <row r="42" ht="46" customHeight="1">
      <c r="A42" s="9" t="inlineStr">
        <is>
          <t>Ojo con esta diferencia: la app de la Semana 1 sí mueve la ganancia por cada $100,000 entre escenarios (su piso usa $10,000 y su techo $20,000), así que sus resultados de piso y techo no coinciden con los de esta hoja. No es un error de ninguno de los dos: son dos modelos distintos. La app pregunta qué pasa si las dos cosas se mueven juntas; esta hoja aísla las ventas dejando la ganancia quieta.</t>
        </is>
      </c>
    </row>
    <row r="43" ht="26" customHeight="1">
      <c r="A43" s="9" t="inlineStr">
        <is>
          <t>Sobre el signo negativo en la columna F: ver la nota del bloque 2. No es un error ni una pérdida; es el orden estándar de la resta y quiere decir que estás por arriba del piso.</t>
        </is>
      </c>
    </row>
    <row r="45" ht="34" customHeight="1">
      <c r="A45" s="9" t="inlineStr">
        <is>
          <t>Fuente de los rangos: INEGI/DENUE y caso Los Cocuyos (CDMX), citados en la auditoría de la Semana 1. Ventas mensuales típicas de una taquería: $100,000 a $300,000. Ganancia: $10,000 a $20,000 por cada $100,000 vendidos. Valores ilustrativos dentro de ese rango, no la contabilidad de un negocio específico.</t>
        </is>
      </c>
    </row>
  </sheetData>
  <mergeCells count="27">
    <mergeCell ref="A32:G32"/>
    <mergeCell ref="A14:G14"/>
    <mergeCell ref="C33:G33"/>
    <mergeCell ref="B8:G8"/>
    <mergeCell ref="A20:G20"/>
    <mergeCell ref="A29:G29"/>
    <mergeCell ref="A42:G42"/>
    <mergeCell ref="A43:G43"/>
    <mergeCell ref="A10:G10"/>
    <mergeCell ref="A40:G40"/>
    <mergeCell ref="A31:G31"/>
    <mergeCell ref="A39:G39"/>
    <mergeCell ref="A24:G24"/>
    <mergeCell ref="A15:G15"/>
    <mergeCell ref="A11:G11"/>
    <mergeCell ref="A45:G45"/>
    <mergeCell ref="B6:G6"/>
    <mergeCell ref="A1:G1"/>
    <mergeCell ref="C12:G12"/>
    <mergeCell ref="A41:G41"/>
    <mergeCell ref="B7:G7"/>
    <mergeCell ref="A37:G37"/>
    <mergeCell ref="A3:G3"/>
    <mergeCell ref="A21:G21"/>
    <mergeCell ref="A2:G2"/>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2026-08-06T19:28:19Z</dcterms:created>
  <dcterms:modified xmlns:dcterms="http://purl.org/dc/terms/" xmlns:xsi="http://www.w3.org/2001/XMLSchema-instance" xsi:type="dcterms:W3CDTF">2026-08-06T19:28:19Z</dcterms:modified>
</cp:coreProperties>
</file>