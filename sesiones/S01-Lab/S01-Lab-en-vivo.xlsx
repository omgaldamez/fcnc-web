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<sst xmlns="http://schemas.openxmlformats.org/spreadsheetml/2006/main" count="20" uniqueCount="15">
  <si>
    <t>Auditoría de un referente - Taquería</t>
  </si>
  <si>
    <t>Métrica: Ganancia por cada 100k</t>
  </si>
  <si>
    <t>Ventas Mensuales (MXN)</t>
  </si>
  <si>
    <t>Ganancia por cada $100k</t>
  </si>
  <si>
    <t>Ingreso Diario</t>
  </si>
  <si>
    <t>Ganancia Diaria</t>
  </si>
  <si>
    <t>Diferencia vs tu supuesto</t>
  </si>
  <si>
    <t>Piso</t>
  </si>
  <si>
    <t>Tu Supuesto</t>
  </si>
  <si>
    <t>Techo</t>
  </si>
  <si>
    <t>Comparación de palancas</t>
  </si>
  <si>
    <t>Dos caminos distontos para subir la ganancia a partir de tu supuesto</t>
  </si>
  <si>
    <t>Camino A - vender mas</t>
  </si>
  <si>
    <t>Camino B - Ganar mejor</t>
  </si>
  <si>
    <t>En Cmaino B es el valor del supuesto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</si>
</sst>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$]#,##0.0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1" numFmtId="0" xfId="0" applyBorder="1" applyFont="1"/>
    <xf borderId="1" fillId="0" fontId="1" numFmtId="0" xfId="0" applyAlignment="1" applyBorder="1" applyFont="1">
      <alignment readingOrder="0"/>
    </xf>
    <xf borderId="1" fillId="0" fontId="1" numFmtId="164" xfId="0" applyAlignment="1" applyBorder="1" applyFont="1" applyNumberFormat="1">
      <alignment readingOrder="0"/>
    </xf>
    <xf borderId="1" fillId="0" fontId="1" numFmtId="164" xfId="0" applyBorder="1" applyFont="1" applyNumberFormat="1"/>
    <xf borderId="1" fillId="2" fontId="1" numFmtId="0" xfId="0" applyAlignment="1" applyBorder="1" applyFill="1" applyFont="1">
      <alignment readingOrder="0"/>
    </xf>
    <xf borderId="1" fillId="2" fontId="1" numFmtId="164" xfId="0" applyAlignment="1" applyBorder="1" applyFont="1" applyNumberFormat="1">
      <alignment readingOrder="0"/>
    </xf>
    <xf borderId="1" fillId="2" fontId="1" numFmtId="0" xfId="0" applyBorder="1" applyFont="1"/>
    <xf borderId="0" fillId="0" fontId="1" numFmtId="164" xfId="0" applyFont="1" applyNumberFormat="1"/>
    <xf borderId="0" fillId="2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13"/>
    <col customWidth="1" min="2" max="2" width="19.88"/>
    <col customWidth="1" min="3" max="3" width="21.75"/>
    <col customWidth="1" min="5" max="5" width="14.63"/>
    <col customWidth="1" min="6" max="6" width="19.75"/>
  </cols>
  <sheetData>
    <row r="1">
      <c r="A1" s="1" t="s">
        <v>0</v>
      </c>
      <c r="D1" s="1" t="s">
        <v>1</v>
      </c>
    </row>
    <row r="3">
      <c r="A3" s="2"/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</row>
    <row r="4">
      <c r="A4" s="3" t="s">
        <v>7</v>
      </c>
      <c r="B4" s="4">
        <v>100000.0</v>
      </c>
      <c r="C4" s="4">
        <f t="shared" ref="C4:C6" si="1">B4/10</f>
        <v>10000</v>
      </c>
      <c r="D4" s="4">
        <f t="shared" ref="D4:D6" si="2">B4/30</f>
        <v>3333.333333</v>
      </c>
      <c r="E4" s="4">
        <f t="shared" ref="E4:E6" si="3">D4*(C4/100000)</f>
        <v>333.3333333</v>
      </c>
      <c r="F4" s="5">
        <f>E4-E5</f>
        <v>-1000</v>
      </c>
    </row>
    <row r="5">
      <c r="A5" s="6" t="s">
        <v>8</v>
      </c>
      <c r="B5" s="7">
        <v>200000.0</v>
      </c>
      <c r="C5" s="7">
        <f t="shared" si="1"/>
        <v>20000</v>
      </c>
      <c r="D5" s="7">
        <f t="shared" si="2"/>
        <v>6666.666667</v>
      </c>
      <c r="E5" s="7">
        <f t="shared" si="3"/>
        <v>1333.333333</v>
      </c>
      <c r="F5" s="8"/>
    </row>
    <row r="6">
      <c r="A6" s="3" t="s">
        <v>9</v>
      </c>
      <c r="B6" s="4">
        <v>300000.0</v>
      </c>
      <c r="C6" s="4">
        <f t="shared" si="1"/>
        <v>30000</v>
      </c>
      <c r="D6" s="4">
        <f t="shared" si="2"/>
        <v>10000</v>
      </c>
      <c r="E6" s="4">
        <f t="shared" si="3"/>
        <v>3000</v>
      </c>
      <c r="F6" s="5">
        <f>E6-E5</f>
        <v>1666.666667</v>
      </c>
    </row>
    <row r="8">
      <c r="A8" s="1" t="s">
        <v>10</v>
      </c>
    </row>
    <row r="9">
      <c r="A9" s="1" t="s">
        <v>11</v>
      </c>
    </row>
    <row r="11">
      <c r="B11" s="1" t="s">
        <v>2</v>
      </c>
      <c r="C11" s="3" t="s">
        <v>3</v>
      </c>
      <c r="D11" s="3" t="s">
        <v>4</v>
      </c>
      <c r="E11" s="3" t="s">
        <v>5</v>
      </c>
      <c r="F11" s="3" t="s">
        <v>6</v>
      </c>
    </row>
    <row r="12">
      <c r="A12" s="1" t="s">
        <v>12</v>
      </c>
      <c r="B12" s="9">
        <v>250000.0</v>
      </c>
      <c r="C12" s="10">
        <f>C5</f>
        <v>20000</v>
      </c>
      <c r="D12" s="4">
        <f t="shared" ref="D12:D13" si="4">B12/30</f>
        <v>8333.333333</v>
      </c>
      <c r="E12" s="4">
        <f t="shared" ref="E12:E13" si="5">D12*(C12/100000)</f>
        <v>1666.666667</v>
      </c>
      <c r="F12" s="9">
        <f>E12-E5</f>
        <v>333.3333333</v>
      </c>
    </row>
    <row r="13">
      <c r="A13" s="1" t="s">
        <v>13</v>
      </c>
      <c r="B13" s="10">
        <f>B5</f>
        <v>200000</v>
      </c>
      <c r="C13" s="9">
        <v>15000.0</v>
      </c>
      <c r="D13" s="4">
        <f t="shared" si="4"/>
        <v>6666.666667</v>
      </c>
      <c r="E13" s="4">
        <f t="shared" si="5"/>
        <v>1000</v>
      </c>
      <c r="F13" s="9">
        <f>E13-E5</f>
        <v>-333.3333333</v>
      </c>
    </row>
    <row r="14">
      <c r="B14" s="1" t="s">
        <v>14</v>
      </c>
    </row>
  </sheetData>
  <drawing r:id="rId1"/>
</worksheet>
</file>