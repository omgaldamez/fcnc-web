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Auditoría taquería" sheetId="1" state="visible" r:id="rId1"/>
    <sheet xmlns:r="http://schemas.openxmlformats.org/officeDocument/2006/relationships" name="Ficha de tu negocio" sheetId="2" state="visible" r:id="rId2"/>
    <sheet xmlns:r="http://schemas.openxmlformats.org/officeDocument/2006/relationships" name="Vocabulari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.00"/>
    <numFmt numFmtId="166" formatCode="$#,##0.00"/>
  </numFmts>
  <fonts count="13">
    <font>
      <name val="Calibri"/>
      <charset val="1"/>
      <family val="2"/>
      <color theme="1"/>
      <sz val="11"/>
    </font>
    <font>
      <name val="Cambria"/>
      <charset val="1"/>
      <b val="1"/>
      <color rgb="FF2B579A"/>
      <sz val="13"/>
    </font>
    <font>
      <name val="Arial"/>
      <charset val="1"/>
      <i val="1"/>
      <color rgb="FF555555"/>
      <sz val="9"/>
    </font>
    <font>
      <name val="Cambria"/>
      <charset val="1"/>
      <b val="1"/>
      <color rgb="FFFFFFFF"/>
      <sz val="11"/>
    </font>
    <font>
      <name val="Arial"/>
      <charset val="1"/>
      <b val="1"/>
      <sz val="11"/>
    </font>
    <font>
      <name val="Cambria"/>
      <charset val="1"/>
      <color rgb="FF0000FF"/>
      <sz val="11"/>
    </font>
    <font>
      <name val="Cambria"/>
      <charset val="1"/>
      <color rgb="FF000000"/>
      <sz val="11"/>
    </font>
    <font>
      <name val="Cambria"/>
      <charset val="1"/>
      <b val="1"/>
      <color rgb="FF000000"/>
      <sz val="11"/>
    </font>
    <font>
      <name val="Arial"/>
      <family val="2"/>
      <sz val="10"/>
    </font>
    <font>
      <name val="Arial"/>
      <charset val="1"/>
      <sz val="11"/>
    </font>
    <font>
      <name val="Arial"/>
      <b val="1"/>
      <sz val="10"/>
    </font>
    <font>
      <name val="Arial"/>
      <b val="1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4" fontId="5" fillId="4" borderId="0" pivotButton="0" quotePrefix="0" xfId="0"/>
    <xf numFmtId="3" fontId="5" fillId="0" borderId="0" pivotButton="0" quotePrefix="0" xfId="0"/>
    <xf numFmtId="3" fontId="5" fillId="4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166" fontId="11" fillId="5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 FCNC</author>
  </authors>
  <commentList>
    <comment ref="D7" authorId="0" shapeId="0">
      <text>
        <t>Ingreso diario = ventas del mes ÷ 30 días.
Reparte el ingreso de todo el mes entre los días del mes, para poder comparar contra la ganancia por cada $100,000 vendidos, que también es una cifra diaria en la práctica.</t>
      </text>
    </comment>
    <comment ref="E7" authorId="0" shapeId="0">
      <text>
        <t>Ganancia diaria = ingreso diario × (ganancia por cada $100,000 ÷ 100,000).
C/100000 convierte 'ganancia por cada $100,000 vendidos' en una proporción (por ejemplo, 15,000/100,000 = 0.15). Esa proporción se aplica al ingreso diario para saber cuánto de ese ingreso se queda como ganancia.</t>
      </text>
    </comment>
    <comment ref="D8" authorId="0" shapeId="0">
      <text>
        <t>Ingreso diario = ventas del mes ÷ 30 días.
Reparte el ingreso de todo el mes entre los días del mes, para poder comparar contra la ganancia por cada $100,000 vendidos, que también es una cifra diaria en la práctica.</t>
      </text>
    </comment>
    <comment ref="E8" authorId="0" shapeId="0">
      <text>
        <t>Ganancia diaria = ingreso diario × (ganancia por cada $100,000 ÷ 100,000).
C/100000 convierte 'ganancia por cada $100,000 vendidos' en una proporción (por ejemplo, 15,000/100,000 = 0.15). Esa proporción se aplica al ingreso diario para saber cuánto de ese ingreso se queda como ganancia.</t>
      </text>
    </comment>
    <comment ref="D9" authorId="0" shapeId="0">
      <text>
        <t>Ingreso diario = ventas del mes ÷ 30 días.
Reparte el ingreso de todo el mes entre los días del mes, para poder comparar contra la ganancia por cada $100,000 vendidos, que también es una cifra diaria en la práctica.</t>
      </text>
    </comment>
    <comment ref="E9" authorId="0" shapeId="0">
      <text>
        <t>Ganancia diaria = ingreso diario × (ganancia por cada $100,000 ÷ 100,000).
C/100000 convierte 'ganancia por cada $100,000 vendidos' en una proporción (por ejemplo, 15,000/100,000 = 0.15). Esa proporción se aplica al ingreso diario para saber cuánto de ese ingreso se queda como ganancia.</t>
      </text>
    </comment>
    <comment ref="C15" authorId="0" shapeId="0">
      <text>
        <t>Se queda igual que tu supuesto: aquí solo cambian las ventas.</t>
      </text>
    </comment>
    <comment ref="F15" authorId="0" shapeId="0">
      <text>
        <t>Diferencia = ganancia diaria de este camino menos la ganancia diaria de tu supuesto (fila 8). Positivo significa que ganas más por día tomando este camino.</t>
      </text>
    </comment>
    <comment ref="B16" authorId="0" shapeId="0">
      <text>
        <t>Se queda igual que tu supuesto: aquí solo cambia la ganancia por cada $100,000.</t>
      </text>
    </comment>
  </commentList>
</comments>
</file>

<file path=xl/comments/comment2.xml><?xml version="1.0" encoding="utf-8"?>
<comments xmlns="http://schemas.openxmlformats.org/spreadsheetml/2006/main">
  <authors>
    <author>Plantilla FCNC</author>
  </authors>
  <commentList>
    <comment ref="B9" authorId="0" shapeId="0">
      <text>
        <t>Ingreso por día = precio por unidad × unidades vendidas ese día.</t>
      </text>
    </comment>
    <comment ref="C9" authorId="0" shapeId="0">
      <text>
        <t>Misma fórmula que la columna de ejemplo, apuntando a tus propias celdas B y C de esta fila.</t>
      </text>
    </comment>
    <comment ref="B11" authorId="0" shapeId="0">
      <text>
        <t>Ingreso por mes = ingreso por día × días del mes.</t>
      </text>
    </comment>
    <comment ref="C11" authorId="0" shapeId="0">
      <text>
        <t>Misma fórmula, con tus propias celdas.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Normal="100" workbookViewId="0">
      <selection activeCell="B16" sqref="B16"/>
    </sheetView>
  </sheetViews>
  <sheetFormatPr baseColWidth="8" defaultColWidth="8.6640625" defaultRowHeight="14.25"/>
  <cols>
    <col width="26.33203125" customWidth="1" min="1" max="1"/>
    <col width="20" customWidth="1" min="2" max="2"/>
    <col width="24" customWidth="1" min="3" max="3"/>
    <col width="16" customWidth="1" min="4" max="5"/>
    <col width="22" customWidth="1" min="6" max="6"/>
  </cols>
  <sheetData>
    <row r="1" ht="16.5" customHeight="1">
      <c r="A1" s="3" t="inlineStr">
        <is>
          <t>Auditoría de un referente · Taquería</t>
        </is>
      </c>
    </row>
    <row r="2">
      <c r="A2" s="2" t="inlineStr">
        <is>
          <t>Semana 1 · Fundamentos Cuantitativos para Negocios Creativos · mismo modelo que la app</t>
        </is>
      </c>
    </row>
    <row r="3">
      <c r="A3" s="15" t="n"/>
      <c r="D3" s="16" t="n"/>
      <c r="E3" s="17" t="n"/>
    </row>
    <row r="4">
      <c r="A4" s="2" t="inlineStr">
        <is>
          <t>Celdas en azul: tú las cambias (dato o supuesto). Celdas en negro: fórmula, no se toca.</t>
        </is>
      </c>
    </row>
    <row r="6" ht="30" customHeight="1">
      <c r="A6" s="4" t="n"/>
      <c r="B6" s="4" t="inlineStr">
        <is>
          <t>Ventas mensuales ($)</t>
        </is>
      </c>
      <c r="C6" s="4" t="inlineStr">
        <is>
          <t>Ganancia por cada $100,000 ($)</t>
        </is>
      </c>
      <c r="D6" s="4" t="inlineStr">
        <is>
          <t>Ingreso diario ($)</t>
        </is>
      </c>
      <c r="E6" s="4" t="inlineStr">
        <is>
          <t>Ganancia diaria ($)</t>
        </is>
      </c>
      <c r="F6" s="4" t="inlineStr">
        <is>
          <t>Diferencia vs. tu supuesto ($)</t>
        </is>
      </c>
    </row>
    <row r="7">
      <c r="A7" s="5" t="inlineStr">
        <is>
          <t>Piso</t>
        </is>
      </c>
      <c r="B7" s="6" t="n">
        <v>100000</v>
      </c>
      <c r="C7" s="6" t="n">
        <v>10000</v>
      </c>
      <c r="D7" s="7">
        <f>B7/30</f>
        <v/>
      </c>
      <c r="E7" s="7">
        <f>D7*(C7/100000)</f>
        <v/>
      </c>
      <c r="F7" s="7">
        <f>E7-E8</f>
        <v/>
      </c>
    </row>
    <row r="8">
      <c r="A8" s="5" t="inlineStr">
        <is>
          <t>Tu supuesto</t>
        </is>
      </c>
      <c r="B8" s="6" t="n">
        <v>200000</v>
      </c>
      <c r="C8" s="6" t="n">
        <v>15000</v>
      </c>
      <c r="D8" s="7">
        <f>B8/30</f>
        <v/>
      </c>
      <c r="E8" s="7">
        <f>D8*(C8/100000)</f>
        <v/>
      </c>
    </row>
    <row r="9">
      <c r="A9" s="5" t="inlineStr">
        <is>
          <t>Techo</t>
        </is>
      </c>
      <c r="B9" s="6" t="n">
        <v>300000</v>
      </c>
      <c r="C9" s="6" t="n">
        <v>20000</v>
      </c>
      <c r="D9" s="7">
        <f>B9/30</f>
        <v/>
      </c>
      <c r="E9" s="7">
        <f>D9*(C9/100000)</f>
        <v/>
      </c>
      <c r="F9" s="7">
        <f>E9-E8</f>
        <v/>
      </c>
    </row>
    <row r="12">
      <c r="A12" s="1" t="inlineStr">
        <is>
          <t>Comparación de palancas</t>
        </is>
      </c>
    </row>
    <row r="13">
      <c r="A13" s="2" t="inlineStr">
        <is>
          <t>Dos caminos distintos para subir la ganancia diaria a partir de tu supuesto. Compara la columna F.</t>
        </is>
      </c>
    </row>
    <row r="14" ht="30" customHeight="1">
      <c r="A14" s="4" t="n"/>
      <c r="B14" s="4" t="inlineStr">
        <is>
          <t>Ventas mensuales ($)</t>
        </is>
      </c>
      <c r="C14" s="4" t="inlineStr">
        <is>
          <t>Ganancia por cada $100,000 ($)</t>
        </is>
      </c>
      <c r="D14" s="4" t="inlineStr">
        <is>
          <t>Ingreso diario ($)</t>
        </is>
      </c>
      <c r="E14" s="4" t="inlineStr">
        <is>
          <t>Ganancia diaria ($)</t>
        </is>
      </c>
      <c r="F14" s="4" t="inlineStr">
        <is>
          <t>Diferencia vs. tu supuesto ($)</t>
        </is>
      </c>
    </row>
    <row r="15">
      <c r="A15" s="5" t="inlineStr">
        <is>
          <t>Camino A · vender más</t>
        </is>
      </c>
      <c r="B15" s="6" t="n">
        <v>250000</v>
      </c>
      <c r="C15" s="8">
        <f>C8</f>
        <v/>
      </c>
      <c r="D15" s="7">
        <f>B15/30</f>
        <v/>
      </c>
      <c r="E15" s="7">
        <f>D15*(C15/100000)</f>
        <v/>
      </c>
      <c r="F15" s="7">
        <f>E15-E8</f>
        <v/>
      </c>
    </row>
    <row r="16">
      <c r="A16" s="5" t="inlineStr">
        <is>
          <t>Camino B · ganar mejor</t>
        </is>
      </c>
      <c r="B16" s="8">
        <f>B8</f>
        <v/>
      </c>
      <c r="C16" s="6" t="n">
        <v>20000</v>
      </c>
      <c r="D16" s="7">
        <f>B16/30</f>
        <v/>
      </c>
      <c r="E16" s="7">
        <f>D16*(C16/100000)</f>
        <v/>
      </c>
      <c r="F16" s="7">
        <f>E16-E8</f>
        <v/>
      </c>
    </row>
    <row r="18">
      <c r="A18" s="17" t="n"/>
    </row>
  </sheetData>
  <mergeCells count="5">
    <mergeCell ref="A2:F2"/>
    <mergeCell ref="A13:F13"/>
    <mergeCell ref="A1:F1"/>
    <mergeCell ref="A12:F12"/>
    <mergeCell ref="A4:F4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Normal="100" workbookViewId="0">
      <selection activeCell="B14" sqref="B14"/>
    </sheetView>
  </sheetViews>
  <sheetFormatPr baseColWidth="8" defaultColWidth="8.6640625" defaultRowHeight="14.25"/>
  <cols>
    <col width="26" customWidth="1" min="1" max="1"/>
    <col width="22" customWidth="1" min="2" max="3"/>
  </cols>
  <sheetData>
    <row r="1" ht="16.5" customHeight="1">
      <c r="A1" s="3" t="inlineStr">
        <is>
          <t>Ficha de tu negocio</t>
        </is>
      </c>
    </row>
    <row r="2">
      <c r="A2" s="2" t="inlineStr">
        <is>
          <t>Semana 1 · mismo modelo que la pestaña Ficha de la app</t>
        </is>
      </c>
    </row>
    <row r="4">
      <c r="A4" s="2" t="inlineStr">
        <is>
          <t>Celdas en azul: tú las cambias. Celdas en negro: fórmula, no se toca.</t>
        </is>
      </c>
    </row>
    <row r="6" ht="27.75" customHeight="1">
      <c r="A6" s="4" t="inlineStr">
        <is>
          <t>Campo</t>
        </is>
      </c>
      <c r="B6" s="4" t="inlineStr">
        <is>
          <t>Ejemplo · Café Andante</t>
        </is>
      </c>
      <c r="C6" s="4" t="inlineStr">
        <is>
          <t>Tu negocio</t>
        </is>
      </c>
    </row>
    <row r="7">
      <c r="A7" s="5" t="inlineStr">
        <is>
          <t>Precio por unidad</t>
        </is>
      </c>
      <c r="B7" s="6" t="n">
        <v>40</v>
      </c>
      <c r="C7" s="9" t="n"/>
    </row>
    <row r="8">
      <c r="A8" s="5" t="inlineStr">
        <is>
          <t>Unidades vendidas por día</t>
        </is>
      </c>
      <c r="B8" s="10" t="n">
        <v>30</v>
      </c>
      <c r="C8" s="11" t="n"/>
    </row>
    <row r="9">
      <c r="A9" s="5" t="inlineStr">
        <is>
          <t>Ingreso por día</t>
        </is>
      </c>
      <c r="B9" s="7">
        <f>B7*B8</f>
        <v/>
      </c>
      <c r="C9" s="7">
        <f>C7*C8</f>
        <v/>
      </c>
    </row>
    <row r="10">
      <c r="A10" s="5" t="inlineStr">
        <is>
          <t>Días del mes</t>
        </is>
      </c>
      <c r="B10" s="10" t="n">
        <v>30</v>
      </c>
      <c r="C10" s="10" t="n">
        <v>30</v>
      </c>
    </row>
    <row r="11">
      <c r="A11" s="5" t="inlineStr">
        <is>
          <t>Ingreso por mes</t>
        </is>
      </c>
      <c r="B11" s="8">
        <f>B9*B10</f>
        <v/>
      </c>
      <c r="C11" s="8">
        <f>C9*C10</f>
        <v/>
      </c>
    </row>
  </sheetData>
  <mergeCells count="3">
    <mergeCell ref="A1:C1"/>
    <mergeCell ref="A4:C4"/>
    <mergeCell ref="A2:C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A5" sqref="A5"/>
    </sheetView>
  </sheetViews>
  <sheetFormatPr baseColWidth="8" defaultColWidth="8.6640625" defaultRowHeight="14.25"/>
  <cols>
    <col width="16" customWidth="1" min="1" max="1"/>
    <col width="90" customWidth="1" min="2" max="2"/>
  </cols>
  <sheetData>
    <row r="1" ht="16.5" customHeight="1">
      <c r="A1" s="3" t="inlineStr">
        <is>
          <t>Vocabulario · Semana 1</t>
        </is>
      </c>
    </row>
    <row r="2">
      <c r="A2" s="2" t="inlineStr">
        <is>
          <t>Definiciones tal como están en glosario/terminos.csv. Se proyecta, no se reescribe.</t>
        </is>
      </c>
    </row>
    <row r="4">
      <c r="A4" s="12" t="inlineStr">
        <is>
          <t>Término</t>
        </is>
      </c>
      <c r="B4" s="12" t="inlineStr">
        <is>
          <t>Definición</t>
        </is>
      </c>
    </row>
    <row r="5" ht="45" customHeight="1">
      <c r="A5" s="13" t="inlineStr">
        <is>
          <t>Dato</t>
        </is>
      </c>
      <c r="B5" s="14" t="inlineStr">
        <is>
          <t>Un valor concreto que se observa o se mide: cuánto cobra un competidor, cuántas personas pasan frente a un local en una hora, cuánto cuesta un insumo.</t>
        </is>
      </c>
    </row>
    <row r="6" ht="45" customHeight="1">
      <c r="A6" s="13" t="inlineStr">
        <is>
          <t>Métrica</t>
        </is>
      </c>
      <c r="B6" s="14" t="inlineStr">
        <is>
          <t>El dato que sí importa seguir de cerca porque de él depende una decisión. No todos los datos son igual de importantes.</t>
        </is>
      </c>
    </row>
    <row r="7" ht="45" customHeight="1">
      <c r="A7" s="13" t="inlineStr">
        <is>
          <t>Supuesto</t>
        </is>
      </c>
      <c r="B7" s="14" t="inlineStr">
        <is>
          <t>Algo que el modelo da por cierto sin haberlo confirmado todavía. Nombrarlo es lo que permite revisar el modelo después, cuando lleguen datos reales.</t>
        </is>
      </c>
    </row>
    <row r="8" ht="45" customHeight="1">
      <c r="A8" s="13" t="inlineStr">
        <is>
          <t>Piso</t>
        </is>
      </c>
      <c r="B8" s="14" t="inlineStr">
        <is>
          <t>El resultado más bajo que es razonable esperar, calculado usando el extremo conservador de lo que reportan negocios parecidos al tuyo.</t>
        </is>
      </c>
    </row>
    <row r="9" ht="45" customHeight="1">
      <c r="A9" s="13" t="inlineStr">
        <is>
          <t>Techo</t>
        </is>
      </c>
      <c r="B9" s="14" t="inlineStr">
        <is>
          <t>El resultado más alto que es razonable esperar, calculado usando el extremo favorable de lo que reportan negocios parecidos al tuyo.</t>
        </is>
      </c>
    </row>
  </sheetData>
  <mergeCells count="2">
    <mergeCell ref="A2:B2"/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2026-08-05T18:14:25Z</dcterms:created>
  <dcterms:modified xmlns:dcterms="http://purl.org/dc/terms/" xmlns:xsi="http://www.w3.org/2001/XMLSchema-instance" xsi:type="dcterms:W3CDTF">2026-08-06T19:36:39Z</dcterms:modified>
  <cp:lastModifiedBy>Omar Galdamez</cp:lastModifiedBy>
  <cp:revision>0</cp:revision>
</cp:coreProperties>
</file>