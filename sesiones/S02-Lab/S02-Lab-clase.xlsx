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7f1265f86595bb2/Escritorio/fcnc-web/sesiones/S02-Lab/"/>
    </mc:Choice>
  </mc:AlternateContent>
  <xr:revisionPtr revIDLastSave="10" documentId="11_51DE1FB9FF7951D665E6104ABDDD5541C159C0ED" xr6:coauthVersionLast="47" xr6:coauthVersionMax="47" xr10:uidLastSave="{3775B051-6CF0-4F14-9329-1AAF37DB2EB4}"/>
  <bookViews>
    <workbookView xWindow="-98" yWindow="-98" windowWidth="21795" windowHeight="12975" tabRatio="500" activeTab="2" xr2:uid="{00000000-000D-0000-FFFF-FFFF00000000}"/>
  </bookViews>
  <sheets>
    <sheet name="Cómo usar este libro" sheetId="1" r:id="rId1"/>
    <sheet name="Tu negocio" sheetId="2" r:id="rId2"/>
    <sheet name="S01-Lab" sheetId="3" r:id="rId3"/>
    <sheet name="S02-Lab" sheetId="4" r:id="rId4"/>
    <sheet name="Vocabulario"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3" i="3" l="1"/>
  <c r="D23" i="3" s="1"/>
  <c r="E22" i="3"/>
  <c r="F22" i="3" s="1"/>
  <c r="C22" i="3"/>
  <c r="D22" i="3" s="1"/>
  <c r="C21" i="3"/>
  <c r="B21" i="3"/>
  <c r="E21" i="3" s="1"/>
  <c r="F21" i="3" s="1"/>
  <c r="E14" i="3"/>
  <c r="F14" i="3" s="1"/>
  <c r="D14" i="3"/>
  <c r="E13" i="3"/>
  <c r="F13" i="3" s="1"/>
  <c r="D13" i="3"/>
  <c r="E12" i="3"/>
  <c r="F12" i="3" s="1"/>
  <c r="D12" i="3"/>
  <c r="C21" i="2"/>
  <c r="B21" i="2"/>
  <c r="C20" i="2"/>
  <c r="B20" i="2"/>
  <c r="B22" i="2" s="1"/>
  <c r="C22" i="2" l="1"/>
  <c r="D22" i="2" s="1"/>
  <c r="G12" i="3"/>
  <c r="H12" i="3" s="1"/>
  <c r="G14" i="3"/>
  <c r="H14" i="3" s="1"/>
  <c r="G22" i="3"/>
  <c r="E23" i="3"/>
  <c r="F23" i="3" s="1"/>
  <c r="G23" i="3" s="1"/>
  <c r="D21" i="3"/>
</calcChain>
</file>

<file path=xl/sharedStrings.xml><?xml version="1.0" encoding="utf-8"?>
<sst xmlns="http://schemas.openxmlformats.org/spreadsheetml/2006/main" count="173" uniqueCount="129">
  <si>
    <t>FUNDAMENTOS CUANTITATIVOS PARA NEGOCIOS CREATIVOS  ·  MODELO DE TU NEGOCIO</t>
  </si>
  <si>
    <t>Un solo libro para las quince semanas. Cada laboratorio agrega una pestaña, no un archivo.</t>
  </si>
  <si>
    <t>POR QUÉ TODO VIVE EN EL MISMO ARCHIVO</t>
  </si>
  <si>
    <t>Porque un modelo no es una colección de ejercicios sueltos: es un negocio descrito con números que se van afinando. Si cada semana fuera un archivo aparte, cada semana empezarías de cero y no habría forma de preguntarle nada al conjunto. Aquí tus supuestos viven en un solo lugar, la pestaña «Tu negocio», y las pestañas de cada laboratorio los leen desde ahí. Cambia un supuesto y todo lo que dependa de él se recalcula solo, en todas las semanas a la vez. Eso es exactamente lo que hace un modelo, y es la razón de que valga la pena cargar un archivo que crece.</t>
  </si>
  <si>
    <t>CÓMO SE CONECTAN LAS PESTAÑAS</t>
  </si>
  <si>
    <t>Pestaña</t>
  </si>
  <si>
    <t>Qué contiene</t>
  </si>
  <si>
    <t>De dónde lee</t>
  </si>
  <si>
    <t>Para qué sirve</t>
  </si>
  <si>
    <t>Tu negocio</t>
  </si>
  <si>
    <t>Tus supuestos, uno por celda</t>
  </si>
  <si>
    <t>Lo escribes tú</t>
  </si>
  <si>
    <t>Es la única pestaña donde escribes supuestos. Todo lo demás los lee de aquí.</t>
  </si>
  <si>
    <t>S01-Lab</t>
  </si>
  <si>
    <t>Auditoría de la taquería</t>
  </si>
  <si>
    <t>No lee de nadie</t>
  </si>
  <si>
    <t>La hoja que se armó en clase, ya corregida. Se queda como está, es el registro de esa sesión.</t>
  </si>
  <si>
    <t>S02-Lab</t>
  </si>
  <si>
    <t>La cadena de «por cada» y las palancas</t>
  </si>
  <si>
    <t>Lee de «Tu negocio»</t>
  </si>
  <si>
    <t>El referente arriba, tu negocio abajo. Las celdas en verde oscuro son las que viajan desde la otra pestaña.</t>
  </si>
  <si>
    <t>Vocabulario</t>
  </si>
  <si>
    <t>Los términos de cada semana</t>
  </si>
  <si>
    <t>Se consulta, no se llena. Crece una sección por semana.</t>
  </si>
  <si>
    <t>CÓMO LEER LOS COLORES</t>
  </si>
  <si>
    <t>VERDE</t>
  </si>
  <si>
    <t>Celda que tú editas. Cámbiala y todo lo demás se recalcula solo.</t>
  </si>
  <si>
    <t>AZUL</t>
  </si>
  <si>
    <t>Dato reportado por la fuente. No lo cambies: es el terreno contra el que te comparas.</t>
  </si>
  <si>
    <t>GRIS</t>
  </si>
  <si>
    <t>Celda calculada por una fórmula. No escribas aquí, se sobrescribe la fórmula.</t>
  </si>
  <si>
    <t>TEXTO VERDE</t>
  </si>
  <si>
    <t>Celda que se lee de otra pestaña. Su valor no vive aquí: vive en «Tu negocio».</t>
  </si>
  <si>
    <t>Regla de oro: si una celda es gris o tiene el texto en verde, no escribas encima. Si necesitas otro número, cámbialo en la celda verde de donde sale. Es la diferencia entre fijar un número y calcularlo, que es justo lo que se nos escapó en el laboratorio de la Semana 1.</t>
  </si>
  <si>
    <t>TU NEGOCIO  ·  SUPUESTOS ACUMULADOS</t>
  </si>
  <si>
    <t>Esta es la única pestaña donde escribes supuestos. Todas las demás los leen de aquí.</t>
  </si>
  <si>
    <t>1  ·  LO QUE DECLARASTE EN S01-Lab</t>
  </si>
  <si>
    <t>Tu ficha de la Semana 1 describía el negocio con dos números. Se quedan aquí porque son la base contra la que vas a comprobar todo lo que agregues después.</t>
  </si>
  <si>
    <t>Supuesto</t>
  </si>
  <si>
    <t>Ejemplo · Café Andante</t>
  </si>
  <si>
    <t>Qué está diciendo este número</t>
  </si>
  <si>
    <t>Precio por unidad</t>
  </si>
  <si>
    <t>Cuánto cobras por una sola unidad de lo que vendes.</t>
  </si>
  <si>
    <t>Unidades vendidas por día</t>
  </si>
  <si>
    <t>Cuántas unidades salen en un día. Se cuentan unidades, no clientes.</t>
  </si>
  <si>
    <t>2  ·  LO QUE AGREGAS EN S02-Lab</t>
  </si>
  <si>
    <t>«Unidades por día» escondía dos supuestos distintos: cuánta gente entra y cuánto se lleva cada quien. Separarlos es lo que te deja mover uno sin mover el otro. Y los días abiertos dejan de ser 30 por inercia.</t>
  </si>
  <si>
    <t>Clientes por día</t>
  </si>
  <si>
    <t>Cuántas personas distintas compran en un día. Es una tasa: el segundo término es tiempo.</t>
  </si>
  <si>
    <t>Unidades por cada cliente</t>
  </si>
  <si>
    <t>Cuánto se lleva en promedio quien ya entró. Es una razón, se escribe 1.25 : 1.</t>
  </si>
  <si>
    <t>Días abiertos al mes</t>
  </si>
  <si>
    <t>Cuántos días al mes vendes de verdad. Si descansas, son menos de 30.</t>
  </si>
  <si>
    <t>3  ·  COMPROBACIÓN CONTRA S01-Lab</t>
  </si>
  <si>
    <t>Los dos supuestos nuevos, multiplicados, tienen que parecerse a las unidades por día que declaraste en la Semana 1. Si no se parecen, uno de los dos está mal puesto, y decir cuál es parte de tu justificación.</t>
  </si>
  <si>
    <t>Comprobación</t>
  </si>
  <si>
    <t>Cómo se lee</t>
  </si>
  <si>
    <t>Unidades por día que salen del tablero</t>
  </si>
  <si>
    <t>clientes por día × unidades por cada cliente</t>
  </si>
  <si>
    <t>Unidades por día que declaraste en S01-Lab</t>
  </si>
  <si>
    <t>viene del bloque 1 de esta misma pestaña</t>
  </si>
  <si>
    <t>Diferencia</t>
  </si>
  <si>
    <t>FUNDAMENTOS CUANTITATIVOS PARA NEGOCIOS CREATIVOS  ·  SEMANA 1</t>
  </si>
  <si>
    <t>Auditoría de un referente</t>
  </si>
  <si>
    <t>VERDE · celda que tú editas. Cámbiala y todo lo demás se recalcula solo.</t>
  </si>
  <si>
    <t>AZUL · dato reportado por la fuente. No lo cambies: es el terreno contra el que te comparas.</t>
  </si>
  <si>
    <t>GRIS · celda calculada por una fórmula. No escribas aquí, se sobrescribe la fórmula.</t>
  </si>
  <si>
    <t>1  ·  PISO, TU SUPUESTO Y TECHO</t>
  </si>
  <si>
    <t>El piso es el extremo bajo de ventas que reportan las fuentes ($100,000 al mes) y el techo el extremo alto ($300,000). Ninguno es una predicción: juntos marcan el terreno donde es razonable que caiga tu número. La ganancia se queda fija en 10% en las tres filas.</t>
  </si>
  <si>
    <t>Escenario</t>
  </si>
  <si>
    <t>Ventas mensuales</t>
  </si>
  <si>
    <t>Ganancia (% de las ventas)</t>
  </si>
  <si>
    <t>Ganancia por cada $100k</t>
  </si>
  <si>
    <t>Ingreso diario</t>
  </si>
  <si>
    <t>Ganancia diaria</t>
  </si>
  <si>
    <t>Diferencia vs tu supuesto</t>
  </si>
  <si>
    <t>Cómo se lee esa diferencia</t>
  </si>
  <si>
    <t>Piso</t>
  </si>
  <si>
    <t>Tu supuesto</t>
  </si>
  <si>
    <t>—</t>
  </si>
  <si>
    <t>Es la fila contra la que se comparan las otras dos.</t>
  </si>
  <si>
    <t>Techo</t>
  </si>
  <si>
    <t>El 10% es LINEAL: es el mismo porcentaje sin importar cuánto vendas, por eso está igual en las tres filas. Si vendes el doble ganas el doble, ni más ni menos. Fórmulas: ingreso diario = ventas del mes ÷ 30  ·  ganancia diaria = ingreso diario × 10%</t>
  </si>
  <si>
    <t>Sobre el signo de la columna F: la resta siempre es «esta fila menos tu supuesto». En el Piso sale NEGATIVO y eso es correcto, no es una pérdida: quiere decir que el piso deja menos al día que tu supuesto, o sea que estás por arriba del piso. En el Techo sale positivo porque el techo deja más que tú. Fíjate que las dos diferencias miden lo mismo, $333.33, porque tu supuesto quedó justo a la mitad.</t>
  </si>
  <si>
    <t>2  ·  COMPARACIÓN DE PALANCAS</t>
  </si>
  <si>
    <t>Dos caminos para subir tu ganancia diaria, los dos partiendo de tu supuesto. El Camino A sube las ventas y deja la ganancia en 10%. El Camino B hace lo contrario: mismas ventas, mejor ganancia.</t>
  </si>
  <si>
    <t>Punto de partida (tu supuesto)</t>
  </si>
  <si>
    <t>Es la fila contra la que se comparan los dos caminos.</t>
  </si>
  <si>
    <t>Camino A · vender más</t>
  </si>
  <si>
    <t>Ventas a medio camino entre tu supuesto y el techo reportado. La ganancia no se mueve.</t>
  </si>
  <si>
    <t>Camino B · ganar mejor</t>
  </si>
  <si>
    <t>La ganancia sube de 10% a 15%. Las ventas no se mueven.</t>
  </si>
  <si>
    <t>Con estos números gana el Camino B. La pregunta que sigue no la resuelve la hoja: ¿qué te cuesta menos en tu negocio, vender una cuarta parte más, o ganar 5 puntos más de cada venta que ya haces?</t>
  </si>
  <si>
    <t>S02-Lab  ·  DE LOS NÚMEROS A LA ESTRATEGIA</t>
  </si>
  <si>
    <t>Esta hoja está vacía a propósito: lo que va aquí lo escriben ustedes hoy, siguiendo el proyector. La versión limpia, con formatos y notas, se entrega la clase siguiente.</t>
  </si>
  <si>
    <t>VOCABULARIO ACUMULADO</t>
  </si>
  <si>
    <t>Las definiciones son las mismas del glosario de la app. Se consultan, no se reescriben.</t>
  </si>
  <si>
    <t>SEMANA 1  ·  ¿POR QUÉ LOS NÚMEROS?</t>
  </si>
  <si>
    <t>Término</t>
  </si>
  <si>
    <t>Definición</t>
  </si>
  <si>
    <t>Semana</t>
  </si>
  <si>
    <t>Categoría</t>
  </si>
  <si>
    <t>Dato</t>
  </si>
  <si>
    <t>Un valor concreto que se observa o se mide: cuánto cobra un competidor, cuántas personas pasan frente a un local en una hora, cuánto cuesta un insumo.</t>
  </si>
  <si>
    <t>1</t>
  </si>
  <si>
    <t>general</t>
  </si>
  <si>
    <t>Métrica</t>
  </si>
  <si>
    <t>El dato que sí importa seguir de cerca porque de él depende una decisión. No todos los datos son igual de importantes.</t>
  </si>
  <si>
    <t>Modelo</t>
  </si>
  <si>
    <t>Una versión simplificada de la realidad de un negocio que se usa para tomar una decisión concreta: cuánto cobrar, cuánta gente necesito, si el negocio se sostiene.</t>
  </si>
  <si>
    <t>Referente</t>
  </si>
  <si>
    <t>Un negocio que ya existe y que sirve de comparación. Sus números, aunque no sean exactos para tu caso, dan una primera idea de qué esperar.</t>
  </si>
  <si>
    <t>Algo que el modelo da por cierto sin haberlo confirmado todavía. Nombrarlo es lo que permite revisar el modelo después, cuando lleguen datos reales.</t>
  </si>
  <si>
    <t>El resultado más bajo que es razonable esperar, calculado usando el extremo conservador de lo que reportan negocios parecidos al tuyo. No es la predicción de un desastre ni el peor caso imaginable: es el borde de abajo del terreno donde tiene sentido que caiga tu número.</t>
  </si>
  <si>
    <t>El resultado más alto que es razonable esperar, calculado usando el extremo favorable de lo que reportan negocios parecidos al tuyo. Es el borde de arriba del mismo terreno que marca el piso, no una meta ni una promesa.</t>
  </si>
  <si>
    <t>SEMANA 2  ·  DE LOS NÚMEROS A LA ESTRATEGIA</t>
  </si>
  <si>
    <t>Proporción / razón</t>
  </si>
  <si>
    <t>La comparación entre dos cantidades que dice qué tanto corresponde de una por cada unidad de la otra: por ejemplo, tacos por cada cliente.</t>
  </si>
  <si>
    <t>2</t>
  </si>
  <si>
    <t>matematico</t>
  </si>
  <si>
    <t>Tasa</t>
  </si>
  <si>
    <t>Una proporción donde el segundo término es tiempo, como clientes por día o ventas por mes.</t>
  </si>
  <si>
    <t>La métrica que importa</t>
  </si>
  <si>
    <t>La palanca que, con los supuestos actuales del negocio, más mueve el resultado si se mueve ella. No es la única métrica del negocio, es la más sensible en un momento dado.</t>
  </si>
  <si>
    <t>negocio</t>
  </si>
  <si>
    <t>Palanca</t>
  </si>
  <si>
    <t>Un número del modelo que, al cambiarlo, cambia el resultado; distintas palancas mueven el resultado en distinta medida.</t>
  </si>
  <si>
    <t>Tablero de supuestos</t>
  </si>
  <si>
    <t>El conjunto de supuestos de un negocio puestos juntos y editables, para poder preguntar qué pasaría si alguno de esos números fuera distinto.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</si>
</sst>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13" x14ac:knownFonts="1">
    <font>
      <sz val="11"/>
      <color theme="1"/>
      <name val="Calibri"/>
      <family val="2"/>
      <charset val="1"/>
    </font>
    <font>
      <b/>
      <sz val="11"/>
      <color rgb="FFFFFFFF"/>
      <name val="Arial"/>
      <charset val="1"/>
    </font>
    <font>
      <sz val="10"/>
      <color rgb="FF000000"/>
      <name val="Arial"/>
      <charset val="1"/>
    </font>
    <font>
      <sz val="9.5"/>
      <name val="Arial"/>
      <charset val="1"/>
    </font>
    <font>
      <b/>
      <sz val="9.5"/>
      <color rgb="FFFFFFFF"/>
      <name val="Arial"/>
      <charset val="1"/>
    </font>
    <font>
      <b/>
      <sz val="10"/>
      <color rgb="FF000000"/>
      <name val="Arial"/>
      <charset val="1"/>
    </font>
    <font>
      <sz val="9.5"/>
      <color rgb="FF000000"/>
      <name val="Arial"/>
      <charset val="1"/>
    </font>
    <font>
      <sz val="9"/>
      <color rgb="FF000000"/>
      <name val="Arial"/>
      <charset val="1"/>
    </font>
    <font>
      <b/>
      <sz val="10"/>
      <color rgb="FF008000"/>
      <name val="Arial"/>
      <charset val="1"/>
    </font>
    <font>
      <b/>
      <sz val="13"/>
      <color rgb="FF000000"/>
      <name val="Arial"/>
      <charset val="1"/>
    </font>
    <font>
      <b/>
      <sz val="10"/>
      <color rgb="FF2B579A"/>
      <name val="Arial"/>
      <charset val="1"/>
    </font>
    <font>
      <sz val="10"/>
      <name val="Arial"/>
      <charset val="1"/>
    </font>
    <font>
      <sz val="9"/>
      <name val="Arial"/>
      <charset val="1"/>
    </font>
  </fonts>
  <fills count="8">
    <fill>
      <patternFill patternType="none"/>
    </fill>
    <fill>
      <patternFill patternType="gray125"/>
    </fill>
    <fill>
      <patternFill patternType="solid">
        <fgColor rgb="FF2B579A"/>
        <bgColor rgb="FF0066CC"/>
      </patternFill>
    </fill>
    <fill>
      <patternFill patternType="solid">
        <fgColor rgb="FFFFF8EC"/>
        <bgColor rgb="FFF3F3F3"/>
      </patternFill>
    </fill>
    <fill>
      <patternFill patternType="solid">
        <fgColor rgb="FFF3F3F3"/>
        <bgColor rgb="FFFFF8EC"/>
      </patternFill>
    </fill>
    <fill>
      <patternFill patternType="solid">
        <fgColor rgb="FFD9EAD3"/>
        <bgColor rgb="FFCFE2F3"/>
      </patternFill>
    </fill>
    <fill>
      <patternFill patternType="solid">
        <fgColor rgb="FFCFE2F3"/>
        <bgColor rgb="FFD9EAD3"/>
      </patternFill>
    </fill>
    <fill>
      <patternFill patternType="solid">
        <fgColor rgb="FFFCE5CD"/>
        <bgColor rgb="FFF3F3F3"/>
      </patternFill>
    </fill>
  </fills>
  <borders count="2">
    <border>
      <left/>
      <right/>
      <top/>
      <bottom/>
      <diagonal/>
    </border>
    <border>
      <left style="thin">
        <color rgb="FFC9CDD3"/>
      </left>
      <right style="thin">
        <color rgb="FFC9CDD3"/>
      </right>
      <top style="thin">
        <color rgb="FFC9CDD3"/>
      </top>
      <bottom style="thin">
        <color rgb="FFC9CDD3"/>
      </bottom>
      <diagonal/>
    </border>
  </borders>
  <cellStyleXfs count="1">
    <xf numFmtId="0" fontId="0" fillId="0" borderId="0"/>
  </cellStyleXfs>
  <cellXfs count="44">
    <xf numFmtId="0" fontId="0" fillId="0" borderId="0" xfId="0"/>
    <xf numFmtId="0" fontId="6" fillId="3" borderId="0" xfId="0" applyFont="1" applyFill="1" applyAlignment="1">
      <alignment vertical="center" wrapText="1"/>
    </xf>
    <xf numFmtId="0" fontId="3" fillId="3" borderId="0" xfId="0" applyFont="1" applyFill="1" applyAlignment="1">
      <alignment vertical="top" wrapText="1"/>
    </xf>
    <xf numFmtId="0" fontId="1" fillId="2" borderId="0" xfId="0" applyFont="1" applyFill="1"/>
    <xf numFmtId="0" fontId="11" fillId="0" borderId="0" xfId="0" applyFont="1"/>
    <xf numFmtId="0" fontId="10" fillId="0" borderId="0" xfId="0" applyFont="1"/>
    <xf numFmtId="0" fontId="9" fillId="0" borderId="0" xfId="0" applyFont="1"/>
    <xf numFmtId="0" fontId="1" fillId="2" borderId="0" xfId="0" applyFont="1" applyFill="1" applyAlignment="1">
      <alignment vertical="center"/>
    </xf>
    <xf numFmtId="0" fontId="6" fillId="0" borderId="0" xfId="0" applyFont="1" applyAlignment="1">
      <alignment vertical="center" wrapText="1"/>
    </xf>
    <xf numFmtId="0" fontId="3" fillId="3" borderId="0" xfId="0" applyFont="1" applyFill="1" applyAlignment="1">
      <alignment vertical="center" wrapText="1"/>
    </xf>
    <xf numFmtId="0" fontId="2" fillId="0" borderId="0" xfId="0" applyFont="1" applyAlignment="1">
      <alignment vertical="center" wrapText="1"/>
    </xf>
    <xf numFmtId="0" fontId="1" fillId="2" borderId="0" xfId="0" applyFont="1" applyFill="1" applyAlignment="1">
      <alignment vertical="center" wrapText="1"/>
    </xf>
    <xf numFmtId="0" fontId="4" fillId="2" borderId="0" xfId="0" applyFont="1" applyFill="1" applyAlignment="1">
      <alignment vertical="center" wrapText="1"/>
    </xf>
    <xf numFmtId="0" fontId="5" fillId="4" borderId="0" xfId="0" applyFont="1" applyFill="1" applyAlignment="1">
      <alignment vertical="center" wrapText="1"/>
    </xf>
    <xf numFmtId="0" fontId="6" fillId="4" borderId="0" xfId="0" applyFont="1" applyFill="1" applyAlignment="1">
      <alignment vertical="center" wrapText="1"/>
    </xf>
    <xf numFmtId="0" fontId="7" fillId="4" borderId="0" xfId="0" applyFont="1" applyFill="1" applyAlignment="1">
      <alignment vertical="center" wrapText="1"/>
    </xf>
    <xf numFmtId="0" fontId="5" fillId="5" borderId="0" xfId="0" applyFont="1" applyFill="1" applyAlignment="1">
      <alignment vertical="center"/>
    </xf>
    <xf numFmtId="0" fontId="5" fillId="6" borderId="0" xfId="0" applyFont="1" applyFill="1" applyAlignment="1">
      <alignment vertical="center"/>
    </xf>
    <xf numFmtId="0" fontId="5" fillId="4" borderId="0" xfId="0" applyFont="1" applyFill="1" applyAlignment="1">
      <alignment vertical="center"/>
    </xf>
    <xf numFmtId="0" fontId="8" fillId="0" borderId="0" xfId="0" applyFont="1" applyAlignment="1">
      <alignment vertical="center"/>
    </xf>
    <xf numFmtId="0" fontId="2" fillId="0" borderId="0" xfId="0" applyFont="1" applyAlignment="1">
      <alignment vertical="center"/>
    </xf>
    <xf numFmtId="164" fontId="2" fillId="6" borderId="0" xfId="0" applyNumberFormat="1" applyFont="1" applyFill="1" applyAlignment="1">
      <alignment vertical="center"/>
    </xf>
    <xf numFmtId="164" fontId="2" fillId="5" borderId="0" xfId="0" applyNumberFormat="1" applyFont="1" applyFill="1" applyAlignment="1">
      <alignment vertical="center"/>
    </xf>
    <xf numFmtId="0" fontId="7" fillId="0" borderId="0" xfId="0" applyFont="1" applyAlignment="1">
      <alignment vertical="center" wrapText="1"/>
    </xf>
    <xf numFmtId="165" fontId="2" fillId="6" borderId="0" xfId="0" applyNumberFormat="1" applyFont="1" applyFill="1" applyAlignment="1">
      <alignment vertical="center"/>
    </xf>
    <xf numFmtId="165" fontId="2" fillId="5" borderId="0" xfId="0" applyNumberFormat="1" applyFont="1" applyFill="1" applyAlignment="1">
      <alignment vertical="center"/>
    </xf>
    <xf numFmtId="1" fontId="2" fillId="6" borderId="0" xfId="0" applyNumberFormat="1" applyFont="1" applyFill="1" applyAlignment="1">
      <alignment vertical="center"/>
    </xf>
    <xf numFmtId="1" fontId="2" fillId="5" borderId="0" xfId="0" applyNumberFormat="1" applyFont="1" applyFill="1" applyAlignment="1">
      <alignment vertical="center"/>
    </xf>
    <xf numFmtId="165" fontId="2" fillId="4" borderId="0" xfId="0" applyNumberFormat="1" applyFont="1" applyFill="1" applyAlignment="1">
      <alignment vertical="center"/>
    </xf>
    <xf numFmtId="0" fontId="11" fillId="5" borderId="1" xfId="0" applyFont="1" applyFill="1" applyBorder="1"/>
    <xf numFmtId="0" fontId="11" fillId="6" borderId="1" xfId="0" applyFont="1" applyFill="1" applyBorder="1"/>
    <xf numFmtId="0" fontId="11" fillId="4" borderId="1" xfId="0" applyFont="1" applyFill="1" applyBorder="1"/>
    <xf numFmtId="0" fontId="4" fillId="2" borderId="1" xfId="0" applyFont="1" applyFill="1" applyBorder="1" applyAlignment="1">
      <alignment horizontal="center" vertical="center" wrapText="1"/>
    </xf>
    <xf numFmtId="166" fontId="11" fillId="6" borderId="1" xfId="0" applyNumberFormat="1" applyFont="1" applyFill="1" applyBorder="1"/>
    <xf numFmtId="9" fontId="11" fillId="5" borderId="1" xfId="0" applyNumberFormat="1" applyFont="1" applyFill="1" applyBorder="1" applyAlignment="1">
      <alignment horizontal="center"/>
    </xf>
    <xf numFmtId="166" fontId="11" fillId="4" borderId="1" xfId="0" applyNumberFormat="1" applyFont="1" applyFill="1" applyBorder="1"/>
    <xf numFmtId="0" fontId="12" fillId="4" borderId="1" xfId="0" applyFont="1" applyFill="1" applyBorder="1" applyAlignment="1">
      <alignment vertical="top" wrapText="1"/>
    </xf>
    <xf numFmtId="0" fontId="5" fillId="5" borderId="1" xfId="0" applyFont="1" applyFill="1" applyBorder="1"/>
    <xf numFmtId="166" fontId="11" fillId="5" borderId="1" xfId="0" applyNumberFormat="1" applyFont="1" applyFill="1" applyBorder="1"/>
    <xf numFmtId="166" fontId="5" fillId="7" borderId="1" xfId="0" applyNumberFormat="1" applyFont="1" applyFill="1" applyBorder="1"/>
    <xf numFmtId="0" fontId="11" fillId="4" borderId="1" xfId="0" applyFont="1" applyFill="1" applyBorder="1" applyAlignment="1">
      <alignment horizontal="center"/>
    </xf>
    <xf numFmtId="9" fontId="11" fillId="4" borderId="1" xfId="0" applyNumberFormat="1" applyFont="1" applyFill="1" applyBorder="1" applyAlignment="1">
      <alignment horizontal="center"/>
    </xf>
    <xf numFmtId="0" fontId="5" fillId="4" borderId="1" xfId="0" applyFont="1" applyFill="1" applyBorder="1"/>
    <xf numFmtId="0" fontId="7" fillId="4" borderId="0" xfId="0" applyFont="1" applyFill="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DD3"/>
      <rgbColor rgb="FF808080"/>
      <rgbColor rgb="FF9999FF"/>
      <rgbColor rgb="FF993366"/>
      <rgbColor rgb="FFFFF8EC"/>
      <rgbColor rgb="FFF3F3F3"/>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B579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Normal="100" workbookViewId="0">
      <selection sqref="A1:D1"/>
    </sheetView>
  </sheetViews>
  <sheetFormatPr defaultColWidth="8.6640625" defaultRowHeight="14.25" x14ac:dyDescent="0.45"/>
  <cols>
    <col min="1" max="1" width="30" customWidth="1"/>
    <col min="2" max="3" width="22" customWidth="1"/>
    <col min="4" max="4" width="62" customWidth="1"/>
  </cols>
  <sheetData>
    <row r="1" spans="1:4" ht="24" customHeight="1" x14ac:dyDescent="0.45">
      <c r="A1" s="11" t="s">
        <v>0</v>
      </c>
      <c r="B1" s="11"/>
      <c r="C1" s="11"/>
      <c r="D1" s="11"/>
    </row>
    <row r="2" spans="1:4" ht="19.5" customHeight="1" x14ac:dyDescent="0.45">
      <c r="A2" s="10" t="s">
        <v>1</v>
      </c>
      <c r="B2" s="10"/>
      <c r="C2" s="10"/>
      <c r="D2" s="10"/>
    </row>
    <row r="4" spans="1:4" ht="24" customHeight="1" x14ac:dyDescent="0.45">
      <c r="A4" s="11" t="s">
        <v>2</v>
      </c>
      <c r="B4" s="11"/>
      <c r="C4" s="11"/>
      <c r="D4" s="11"/>
    </row>
    <row r="5" spans="1:4" ht="75.75" customHeight="1" x14ac:dyDescent="0.45">
      <c r="A5" s="9" t="s">
        <v>3</v>
      </c>
      <c r="B5" s="9"/>
      <c r="C5" s="9"/>
      <c r="D5" s="9"/>
    </row>
    <row r="7" spans="1:4" ht="24" customHeight="1" x14ac:dyDescent="0.45">
      <c r="A7" s="11" t="s">
        <v>4</v>
      </c>
      <c r="B7" s="11"/>
      <c r="C7" s="11"/>
      <c r="D7" s="11"/>
    </row>
    <row r="8" spans="1:4" ht="30" customHeight="1" x14ac:dyDescent="0.45">
      <c r="A8" s="12" t="s">
        <v>5</v>
      </c>
      <c r="B8" s="12" t="s">
        <v>6</v>
      </c>
      <c r="C8" s="12" t="s">
        <v>7</v>
      </c>
      <c r="D8" s="12" t="s">
        <v>8</v>
      </c>
    </row>
    <row r="9" spans="1:4" ht="33.75" customHeight="1" x14ac:dyDescent="0.45">
      <c r="A9" s="13" t="s">
        <v>9</v>
      </c>
      <c r="B9" s="14" t="s">
        <v>10</v>
      </c>
      <c r="C9" s="14" t="s">
        <v>11</v>
      </c>
      <c r="D9" s="15" t="s">
        <v>12</v>
      </c>
    </row>
    <row r="10" spans="1:4" ht="33.75" customHeight="1" x14ac:dyDescent="0.45">
      <c r="A10" s="13" t="s">
        <v>13</v>
      </c>
      <c r="B10" s="14" t="s">
        <v>14</v>
      </c>
      <c r="C10" s="14" t="s">
        <v>15</v>
      </c>
      <c r="D10" s="15" t="s">
        <v>16</v>
      </c>
    </row>
    <row r="11" spans="1:4" ht="33.75" customHeight="1" x14ac:dyDescent="0.45">
      <c r="A11" s="13" t="s">
        <v>17</v>
      </c>
      <c r="B11" s="14" t="s">
        <v>18</v>
      </c>
      <c r="C11" s="14" t="s">
        <v>19</v>
      </c>
      <c r="D11" s="15" t="s">
        <v>20</v>
      </c>
    </row>
    <row r="12" spans="1:4" ht="33.75" customHeight="1" x14ac:dyDescent="0.45">
      <c r="A12" s="13" t="s">
        <v>21</v>
      </c>
      <c r="B12" s="14" t="s">
        <v>22</v>
      </c>
      <c r="C12" s="14" t="s">
        <v>15</v>
      </c>
      <c r="D12" s="15" t="s">
        <v>23</v>
      </c>
    </row>
    <row r="14" spans="1:4" ht="24" customHeight="1" x14ac:dyDescent="0.45">
      <c r="A14" s="11" t="s">
        <v>24</v>
      </c>
      <c r="B14" s="11"/>
      <c r="C14" s="11"/>
      <c r="D14" s="11"/>
    </row>
    <row r="15" spans="1:4" ht="21.75" customHeight="1" x14ac:dyDescent="0.45">
      <c r="A15" s="16" t="s">
        <v>25</v>
      </c>
      <c r="B15" s="8" t="s">
        <v>26</v>
      </c>
      <c r="C15" s="8"/>
      <c r="D15" s="8"/>
    </row>
    <row r="16" spans="1:4" ht="21.75" customHeight="1" x14ac:dyDescent="0.45">
      <c r="A16" s="17" t="s">
        <v>27</v>
      </c>
      <c r="B16" s="8" t="s">
        <v>28</v>
      </c>
      <c r="C16" s="8"/>
      <c r="D16" s="8"/>
    </row>
    <row r="17" spans="1:4" ht="21.75" customHeight="1" x14ac:dyDescent="0.45">
      <c r="A17" s="18" t="s">
        <v>29</v>
      </c>
      <c r="B17" s="8" t="s">
        <v>30</v>
      </c>
      <c r="C17" s="8"/>
      <c r="D17" s="8"/>
    </row>
    <row r="18" spans="1:4" ht="21.75" customHeight="1" x14ac:dyDescent="0.45">
      <c r="A18" s="19" t="s">
        <v>31</v>
      </c>
      <c r="B18" s="8" t="s">
        <v>32</v>
      </c>
      <c r="C18" s="8"/>
      <c r="D18" s="8"/>
    </row>
    <row r="20" spans="1:4" ht="48" customHeight="1" x14ac:dyDescent="0.45">
      <c r="A20" s="9" t="s">
        <v>33</v>
      </c>
      <c r="B20" s="9"/>
      <c r="C20" s="9"/>
      <c r="D20" s="9"/>
    </row>
  </sheetData>
  <mergeCells count="11">
    <mergeCell ref="A20:D20"/>
    <mergeCell ref="A14:D14"/>
    <mergeCell ref="B15:D15"/>
    <mergeCell ref="B16:D16"/>
    <mergeCell ref="B17:D17"/>
    <mergeCell ref="B18:D18"/>
    <mergeCell ref="A1:D1"/>
    <mergeCell ref="A2:D2"/>
    <mergeCell ref="A4:D4"/>
    <mergeCell ref="A5:D5"/>
    <mergeCell ref="A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zoomScaleNormal="100" workbookViewId="0">
      <selection sqref="A1:D1"/>
    </sheetView>
  </sheetViews>
  <sheetFormatPr defaultColWidth="8.6640625" defaultRowHeight="14.25" x14ac:dyDescent="0.45"/>
  <cols>
    <col min="1" max="1" width="34" customWidth="1"/>
    <col min="2" max="3" width="22" customWidth="1"/>
    <col min="4" max="4" width="60" customWidth="1"/>
  </cols>
  <sheetData>
    <row r="1" spans="1:4" ht="24" customHeight="1" x14ac:dyDescent="0.45">
      <c r="A1" s="11" t="s">
        <v>34</v>
      </c>
      <c r="B1" s="11"/>
      <c r="C1" s="11"/>
      <c r="D1" s="11"/>
    </row>
    <row r="2" spans="1:4" ht="19.5" customHeight="1" x14ac:dyDescent="0.45">
      <c r="A2" s="10" t="s">
        <v>35</v>
      </c>
      <c r="B2" s="10"/>
      <c r="C2" s="10"/>
      <c r="D2" s="10"/>
    </row>
    <row r="4" spans="1:4" ht="24" customHeight="1" x14ac:dyDescent="0.45">
      <c r="A4" s="11" t="s">
        <v>36</v>
      </c>
      <c r="B4" s="11"/>
      <c r="C4" s="11"/>
      <c r="D4" s="11"/>
    </row>
    <row r="5" spans="1:4" ht="33.75" customHeight="1" x14ac:dyDescent="0.45">
      <c r="A5" s="9" t="s">
        <v>37</v>
      </c>
      <c r="B5" s="9"/>
      <c r="C5" s="9"/>
      <c r="D5" s="9"/>
    </row>
    <row r="6" spans="1:4" ht="30" customHeight="1" x14ac:dyDescent="0.45">
      <c r="A6" s="12" t="s">
        <v>38</v>
      </c>
      <c r="B6" s="12" t="s">
        <v>39</v>
      </c>
      <c r="C6" s="12" t="s">
        <v>9</v>
      </c>
      <c r="D6" s="12" t="s">
        <v>40</v>
      </c>
    </row>
    <row r="7" spans="1:4" ht="25.5" customHeight="1" x14ac:dyDescent="0.45">
      <c r="A7" s="20" t="s">
        <v>41</v>
      </c>
      <c r="B7" s="21">
        <v>40</v>
      </c>
      <c r="C7" s="22"/>
      <c r="D7" s="23" t="s">
        <v>42</v>
      </c>
    </row>
    <row r="8" spans="1:4" ht="25.5" customHeight="1" x14ac:dyDescent="0.45">
      <c r="A8" s="20" t="s">
        <v>43</v>
      </c>
      <c r="B8" s="24">
        <v>30</v>
      </c>
      <c r="C8" s="25"/>
      <c r="D8" s="23" t="s">
        <v>44</v>
      </c>
    </row>
    <row r="10" spans="1:4" ht="24" customHeight="1" x14ac:dyDescent="0.45">
      <c r="A10" s="11" t="s">
        <v>45</v>
      </c>
      <c r="B10" s="11"/>
      <c r="C10" s="11"/>
      <c r="D10" s="11"/>
    </row>
    <row r="11" spans="1:4" ht="33.75" customHeight="1" x14ac:dyDescent="0.45">
      <c r="A11" s="9" t="s">
        <v>46</v>
      </c>
      <c r="B11" s="9"/>
      <c r="C11" s="9"/>
      <c r="D11" s="9"/>
    </row>
    <row r="12" spans="1:4" ht="30" customHeight="1" x14ac:dyDescent="0.45">
      <c r="A12" s="12" t="s">
        <v>38</v>
      </c>
      <c r="B12" s="12" t="s">
        <v>39</v>
      </c>
      <c r="C12" s="12" t="s">
        <v>9</v>
      </c>
      <c r="D12" s="12" t="s">
        <v>40</v>
      </c>
    </row>
    <row r="13" spans="1:4" ht="25.5" customHeight="1" x14ac:dyDescent="0.45">
      <c r="A13" s="20" t="s">
        <v>47</v>
      </c>
      <c r="B13" s="24">
        <v>24</v>
      </c>
      <c r="C13" s="25"/>
      <c r="D13" s="23" t="s">
        <v>48</v>
      </c>
    </row>
    <row r="14" spans="1:4" ht="25.5" customHeight="1" x14ac:dyDescent="0.45">
      <c r="A14" s="20" t="s">
        <v>49</v>
      </c>
      <c r="B14" s="24">
        <v>1.25</v>
      </c>
      <c r="C14" s="25"/>
      <c r="D14" s="23" t="s">
        <v>50</v>
      </c>
    </row>
    <row r="15" spans="1:4" ht="25.5" customHeight="1" x14ac:dyDescent="0.45">
      <c r="A15" s="20" t="s">
        <v>51</v>
      </c>
      <c r="B15" s="26">
        <v>26</v>
      </c>
      <c r="C15" s="27"/>
      <c r="D15" s="23" t="s">
        <v>52</v>
      </c>
    </row>
    <row r="17" spans="1:4" ht="24" customHeight="1" x14ac:dyDescent="0.45">
      <c r="A17" s="11" t="s">
        <v>53</v>
      </c>
      <c r="B17" s="11"/>
      <c r="C17" s="11"/>
      <c r="D17" s="11"/>
    </row>
    <row r="18" spans="1:4" ht="33.75" customHeight="1" x14ac:dyDescent="0.45">
      <c r="A18" s="9" t="s">
        <v>54</v>
      </c>
      <c r="B18" s="9"/>
      <c r="C18" s="9"/>
      <c r="D18" s="9"/>
    </row>
    <row r="19" spans="1:4" ht="30" customHeight="1" x14ac:dyDescent="0.45">
      <c r="A19" s="12" t="s">
        <v>55</v>
      </c>
      <c r="B19" s="12" t="s">
        <v>39</v>
      </c>
      <c r="C19" s="12" t="s">
        <v>9</v>
      </c>
      <c r="D19" s="12" t="s">
        <v>56</v>
      </c>
    </row>
    <row r="20" spans="1:4" ht="30" customHeight="1" x14ac:dyDescent="0.45">
      <c r="A20" s="20" t="s">
        <v>57</v>
      </c>
      <c r="B20" s="28">
        <f>B13*B14</f>
        <v>30</v>
      </c>
      <c r="C20" s="28">
        <f>C13*C14</f>
        <v>0</v>
      </c>
      <c r="D20" s="23" t="s">
        <v>58</v>
      </c>
    </row>
    <row r="21" spans="1:4" ht="30" customHeight="1" x14ac:dyDescent="0.45">
      <c r="A21" s="20" t="s">
        <v>59</v>
      </c>
      <c r="B21" s="28">
        <f>B8</f>
        <v>30</v>
      </c>
      <c r="C21" s="28">
        <f>C8</f>
        <v>0</v>
      </c>
      <c r="D21" s="23" t="s">
        <v>60</v>
      </c>
    </row>
    <row r="22" spans="1:4" ht="30" customHeight="1" x14ac:dyDescent="0.45">
      <c r="A22" s="20" t="s">
        <v>61</v>
      </c>
      <c r="B22" s="28">
        <f>B20-B21</f>
        <v>0</v>
      </c>
      <c r="C22" s="28">
        <f>C20-C21</f>
        <v>0</v>
      </c>
      <c r="D22" s="15" t="str">
        <f>IF(C21=0,"Todavía no has llenado tus supuestos.",IF(ABS(C22)&lt;=C21*0.15,"Se parecen: los dos supuestos son consistentes con lo que declaraste en la Semana 1.","No se parecen. Revisa cuál de los dos supuestos nuevos está mal puesto y dilo en tu justificación."))</f>
        <v>Todavía no has llenado tus supuestos.</v>
      </c>
    </row>
  </sheetData>
  <mergeCells count="8">
    <mergeCell ref="A11:D11"/>
    <mergeCell ref="A17:D17"/>
    <mergeCell ref="A18:D18"/>
    <mergeCell ref="A1:D1"/>
    <mergeCell ref="A2:D2"/>
    <mergeCell ref="A4:D4"/>
    <mergeCell ref="A5:D5"/>
    <mergeCell ref="A10:D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showGridLines="0" tabSelected="1" zoomScaleNormal="100" workbookViewId="0">
      <selection sqref="A1:H1"/>
    </sheetView>
  </sheetViews>
  <sheetFormatPr defaultColWidth="8.6640625" defaultRowHeight="14.25" x14ac:dyDescent="0.45"/>
  <cols>
    <col min="1" max="1" width="29" customWidth="1"/>
    <col min="2" max="2" width="17" customWidth="1"/>
    <col min="3" max="4" width="18" customWidth="1"/>
    <col min="5" max="6" width="15" customWidth="1"/>
    <col min="7" max="7" width="20" customWidth="1"/>
    <col min="8" max="8" width="44" customWidth="1"/>
  </cols>
  <sheetData>
    <row r="1" spans="1:8" ht="24" customHeight="1" x14ac:dyDescent="0.45">
      <c r="A1" s="7" t="s">
        <v>62</v>
      </c>
      <c r="B1" s="7"/>
      <c r="C1" s="7"/>
      <c r="D1" s="7"/>
      <c r="E1" s="7"/>
      <c r="F1" s="7"/>
      <c r="G1" s="7"/>
      <c r="H1" s="7"/>
    </row>
    <row r="2" spans="1:8" ht="16.5" customHeight="1" x14ac:dyDescent="0.5">
      <c r="A2" s="6" t="s">
        <v>63</v>
      </c>
      <c r="B2" s="6"/>
      <c r="C2" s="6"/>
      <c r="D2" s="6"/>
      <c r="E2" s="6"/>
      <c r="F2" s="6"/>
      <c r="G2" s="6"/>
      <c r="H2" s="6"/>
    </row>
    <row r="4" spans="1:8" ht="14.25" customHeight="1" x14ac:dyDescent="0.45">
      <c r="A4" s="5" t="s">
        <v>24</v>
      </c>
      <c r="B4" s="5"/>
      <c r="C4" s="5"/>
      <c r="D4" s="5"/>
      <c r="E4" s="5"/>
      <c r="F4" s="5"/>
      <c r="G4" s="5"/>
      <c r="H4" s="5"/>
    </row>
    <row r="5" spans="1:8" ht="14.25" customHeight="1" x14ac:dyDescent="0.45">
      <c r="A5" s="29"/>
      <c r="B5" s="4" t="s">
        <v>64</v>
      </c>
      <c r="C5" s="4"/>
      <c r="D5" s="4"/>
      <c r="E5" s="4"/>
      <c r="F5" s="4"/>
      <c r="G5" s="4"/>
      <c r="H5" s="4"/>
    </row>
    <row r="6" spans="1:8" ht="14.25" customHeight="1" x14ac:dyDescent="0.45">
      <c r="A6" s="30"/>
      <c r="B6" s="4" t="s">
        <v>65</v>
      </c>
      <c r="C6" s="4"/>
      <c r="D6" s="4"/>
      <c r="E6" s="4"/>
      <c r="F6" s="4"/>
      <c r="G6" s="4"/>
      <c r="H6" s="4"/>
    </row>
    <row r="7" spans="1:8" ht="14.25" customHeight="1" x14ac:dyDescent="0.45">
      <c r="A7" s="31"/>
      <c r="B7" s="4" t="s">
        <v>66</v>
      </c>
      <c r="C7" s="4"/>
      <c r="D7" s="4"/>
      <c r="E7" s="4"/>
      <c r="F7" s="4"/>
      <c r="G7" s="4"/>
      <c r="H7" s="4"/>
    </row>
    <row r="9" spans="1:8" ht="14.25" customHeight="1" x14ac:dyDescent="0.45">
      <c r="A9" s="3" t="s">
        <v>67</v>
      </c>
      <c r="B9" s="3"/>
      <c r="C9" s="3"/>
      <c r="D9" s="3"/>
      <c r="E9" s="3"/>
      <c r="F9" s="3"/>
      <c r="G9" s="3"/>
      <c r="H9" s="3"/>
    </row>
    <row r="10" spans="1:8" ht="37.5" customHeight="1" x14ac:dyDescent="0.45">
      <c r="A10" s="2" t="s">
        <v>68</v>
      </c>
      <c r="B10" s="2"/>
      <c r="C10" s="2"/>
      <c r="D10" s="2"/>
      <c r="E10" s="2"/>
      <c r="F10" s="2"/>
      <c r="G10" s="2"/>
      <c r="H10" s="2"/>
    </row>
    <row r="11" spans="1:8" ht="31.5" customHeight="1" x14ac:dyDescent="0.45">
      <c r="A11" s="32" t="s">
        <v>69</v>
      </c>
      <c r="B11" s="32" t="s">
        <v>70</v>
      </c>
      <c r="C11" s="32" t="s">
        <v>71</v>
      </c>
      <c r="D11" s="32" t="s">
        <v>72</v>
      </c>
      <c r="E11" s="32" t="s">
        <v>73</v>
      </c>
      <c r="F11" s="32" t="s">
        <v>74</v>
      </c>
      <c r="G11" s="32" t="s">
        <v>75</v>
      </c>
      <c r="H11" s="32" t="s">
        <v>76</v>
      </c>
    </row>
    <row r="12" spans="1:8" ht="30" customHeight="1" x14ac:dyDescent="0.45">
      <c r="A12" s="30" t="s">
        <v>77</v>
      </c>
      <c r="B12" s="33">
        <v>100000</v>
      </c>
      <c r="C12" s="34">
        <v>0.1</v>
      </c>
      <c r="D12" s="35">
        <f>B12*C12</f>
        <v>10000</v>
      </c>
      <c r="E12" s="35">
        <f>B12/30</f>
        <v>3333.3333333333335</v>
      </c>
      <c r="F12" s="35">
        <f>E12*C12</f>
        <v>333.33333333333337</v>
      </c>
      <c r="G12" s="35">
        <f>F12-$F$13</f>
        <v>-333.33333333333337</v>
      </c>
      <c r="H12" s="36" t="str">
        <f>IF(G12&lt;0,"Este escenario deja MENOS al día que tu supuesto. Estar por arriba de él es buena señal.",IF(G12&gt;0,"Este escenario deja MÁS al día que tu supuesto: tu supuesto se queda corto frente a él.","Igual que tu supuesto."))</f>
        <v>Este escenario deja MENOS al día que tu supuesto. Estar por arriba de él es buena señal.</v>
      </c>
    </row>
    <row r="13" spans="1:8" ht="30" customHeight="1" x14ac:dyDescent="0.45">
      <c r="A13" s="37" t="s">
        <v>78</v>
      </c>
      <c r="B13" s="38">
        <v>200000</v>
      </c>
      <c r="C13" s="34">
        <v>0.1</v>
      </c>
      <c r="D13" s="35">
        <f>B13*C13</f>
        <v>20000</v>
      </c>
      <c r="E13" s="35">
        <f>B13/30</f>
        <v>6666.666666666667</v>
      </c>
      <c r="F13" s="39">
        <f>E13*C13</f>
        <v>666.66666666666674</v>
      </c>
      <c r="G13" s="40" t="s">
        <v>79</v>
      </c>
      <c r="H13" s="36" t="s">
        <v>80</v>
      </c>
    </row>
    <row r="14" spans="1:8" ht="30" customHeight="1" x14ac:dyDescent="0.45">
      <c r="A14" s="30" t="s">
        <v>81</v>
      </c>
      <c r="B14" s="33">
        <v>300000</v>
      </c>
      <c r="C14" s="34">
        <v>0.1</v>
      </c>
      <c r="D14" s="35">
        <f>B14*C14</f>
        <v>30000</v>
      </c>
      <c r="E14" s="35">
        <f>B14/30</f>
        <v>10000</v>
      </c>
      <c r="F14" s="35">
        <f>E14*C14</f>
        <v>1000</v>
      </c>
      <c r="G14" s="35">
        <f>F14-$F$13</f>
        <v>333.33333333333326</v>
      </c>
      <c r="H14" s="36" t="str">
        <f>IF(G14&lt;0,"Este escenario deja MENOS al día que tu supuesto. Estar por arriba de él es buena señal.",IF(G14&gt;0,"Este escenario deja MÁS al día que tu supuesto: tu supuesto se queda corto frente a él.","Igual que tu supuesto."))</f>
        <v>Este escenario deja MÁS al día que tu supuesto: tu supuesto se queda corto frente a él.</v>
      </c>
    </row>
    <row r="15" spans="1:8" ht="37.5" customHeight="1" x14ac:dyDescent="0.45">
      <c r="A15" s="2" t="s">
        <v>82</v>
      </c>
      <c r="B15" s="2"/>
      <c r="C15" s="2"/>
      <c r="D15" s="2"/>
      <c r="E15" s="2"/>
      <c r="F15" s="2"/>
      <c r="G15" s="2"/>
      <c r="H15" s="2"/>
    </row>
    <row r="16" spans="1:8" ht="49.5" customHeight="1" x14ac:dyDescent="0.45">
      <c r="A16" s="2" t="s">
        <v>83</v>
      </c>
      <c r="B16" s="2"/>
      <c r="C16" s="2"/>
      <c r="D16" s="2"/>
      <c r="E16" s="2"/>
      <c r="F16" s="2"/>
      <c r="G16" s="2"/>
      <c r="H16" s="2"/>
    </row>
    <row r="18" spans="1:8" ht="14.25" customHeight="1" x14ac:dyDescent="0.45">
      <c r="A18" s="3" t="s">
        <v>84</v>
      </c>
      <c r="B18" s="3"/>
      <c r="C18" s="3"/>
      <c r="D18" s="3"/>
      <c r="E18" s="3"/>
      <c r="F18" s="3"/>
      <c r="G18" s="3"/>
      <c r="H18" s="3"/>
    </row>
    <row r="19" spans="1:8" ht="30" customHeight="1" x14ac:dyDescent="0.45">
      <c r="A19" s="2" t="s">
        <v>85</v>
      </c>
      <c r="B19" s="2"/>
      <c r="C19" s="2"/>
      <c r="D19" s="2"/>
      <c r="E19" s="2"/>
      <c r="F19" s="2"/>
      <c r="G19" s="2"/>
      <c r="H19" s="2"/>
    </row>
    <row r="20" spans="1:8" ht="31.5" customHeight="1" x14ac:dyDescent="0.45">
      <c r="A20" s="32" t="s">
        <v>69</v>
      </c>
      <c r="B20" s="32" t="s">
        <v>70</v>
      </c>
      <c r="C20" s="32" t="s">
        <v>71</v>
      </c>
      <c r="D20" s="32" t="s">
        <v>72</v>
      </c>
      <c r="E20" s="32" t="s">
        <v>73</v>
      </c>
      <c r="F20" s="32" t="s">
        <v>74</v>
      </c>
      <c r="G20" s="32" t="s">
        <v>75</v>
      </c>
      <c r="H20" s="32" t="s">
        <v>76</v>
      </c>
    </row>
    <row r="21" spans="1:8" ht="27.75" customHeight="1" x14ac:dyDescent="0.45">
      <c r="A21" s="31" t="s">
        <v>86</v>
      </c>
      <c r="B21" s="35">
        <f>B13</f>
        <v>200000</v>
      </c>
      <c r="C21" s="41">
        <f>C13</f>
        <v>0.1</v>
      </c>
      <c r="D21" s="35">
        <f>B21*C21</f>
        <v>20000</v>
      </c>
      <c r="E21" s="35">
        <f>B21/30</f>
        <v>6666.666666666667</v>
      </c>
      <c r="F21" s="39">
        <f>E21*C21</f>
        <v>666.66666666666674</v>
      </c>
      <c r="G21" s="40" t="s">
        <v>79</v>
      </c>
      <c r="H21" s="36" t="s">
        <v>87</v>
      </c>
    </row>
    <row r="22" spans="1:8" ht="27.75" customHeight="1" x14ac:dyDescent="0.45">
      <c r="A22" s="42" t="s">
        <v>88</v>
      </c>
      <c r="B22" s="38">
        <v>250000</v>
      </c>
      <c r="C22" s="41">
        <f>C13</f>
        <v>0.1</v>
      </c>
      <c r="D22" s="35">
        <f>B22*C22</f>
        <v>25000</v>
      </c>
      <c r="E22" s="35">
        <f>B22/30</f>
        <v>8333.3333333333339</v>
      </c>
      <c r="F22" s="35">
        <f>E22*C22</f>
        <v>833.33333333333348</v>
      </c>
      <c r="G22" s="39">
        <f>F22-$F$21</f>
        <v>166.66666666666674</v>
      </c>
      <c r="H22" s="36" t="s">
        <v>89</v>
      </c>
    </row>
    <row r="23" spans="1:8" ht="27.75" customHeight="1" x14ac:dyDescent="0.45">
      <c r="A23" s="42" t="s">
        <v>90</v>
      </c>
      <c r="B23" s="35">
        <f>B13</f>
        <v>200000</v>
      </c>
      <c r="C23" s="34">
        <v>0.15</v>
      </c>
      <c r="D23" s="35">
        <f>B23*C23</f>
        <v>30000</v>
      </c>
      <c r="E23" s="35">
        <f>B23/30</f>
        <v>6666.666666666667</v>
      </c>
      <c r="F23" s="35">
        <f>E23*C23</f>
        <v>1000</v>
      </c>
      <c r="G23" s="39">
        <f>F23-$F$21</f>
        <v>333.33333333333326</v>
      </c>
      <c r="H23" s="36" t="s">
        <v>91</v>
      </c>
    </row>
    <row r="24" spans="1:8" ht="30" customHeight="1" x14ac:dyDescent="0.45">
      <c r="A24" s="2" t="s">
        <v>92</v>
      </c>
      <c r="B24" s="2"/>
      <c r="C24" s="2"/>
      <c r="D24" s="2"/>
      <c r="E24" s="2"/>
      <c r="F24" s="2"/>
      <c r="G24" s="2"/>
      <c r="H24" s="2"/>
    </row>
  </sheetData>
  <mergeCells count="13">
    <mergeCell ref="A18:H18"/>
    <mergeCell ref="A19:H19"/>
    <mergeCell ref="A24:H24"/>
    <mergeCell ref="B7:H7"/>
    <mergeCell ref="A9:H9"/>
    <mergeCell ref="A10:H10"/>
    <mergeCell ref="A15:H15"/>
    <mergeCell ref="A16:H16"/>
    <mergeCell ref="A1:H1"/>
    <mergeCell ref="A2:H2"/>
    <mergeCell ref="A4:H4"/>
    <mergeCell ref="B5:H5"/>
    <mergeCell ref="B6:H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zoomScaleNormal="100" workbookViewId="0">
      <selection sqref="A1:D1"/>
    </sheetView>
  </sheetViews>
  <sheetFormatPr defaultColWidth="8.6640625" defaultRowHeight="14.25" x14ac:dyDescent="0.45"/>
  <cols>
    <col min="1" max="1" width="40" customWidth="1"/>
    <col min="2" max="3" width="20" customWidth="1"/>
    <col min="4" max="4" width="58" customWidth="1"/>
  </cols>
  <sheetData>
    <row r="1" spans="1:4" ht="24" customHeight="1" x14ac:dyDescent="0.45">
      <c r="A1" s="11" t="s">
        <v>93</v>
      </c>
      <c r="B1" s="11"/>
      <c r="C1" s="11"/>
      <c r="D1" s="11"/>
    </row>
    <row r="2" spans="1:4" ht="37.5" customHeight="1" x14ac:dyDescent="0.45">
      <c r="A2" s="1" t="s">
        <v>94</v>
      </c>
      <c r="B2" s="1"/>
      <c r="C2" s="1"/>
      <c r="D2" s="1"/>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zoomScaleNormal="100" workbookViewId="0">
      <selection sqref="A1:D1"/>
    </sheetView>
  </sheetViews>
  <sheetFormatPr defaultColWidth="8.6640625" defaultRowHeight="14.25" x14ac:dyDescent="0.45"/>
  <cols>
    <col min="1" max="1" width="32" customWidth="1"/>
    <col min="2" max="2" width="96" customWidth="1"/>
    <col min="3" max="3" width="14" customWidth="1"/>
    <col min="4" max="4" width="18" customWidth="1"/>
  </cols>
  <sheetData>
    <row r="1" spans="1:4" ht="24" customHeight="1" x14ac:dyDescent="0.45">
      <c r="A1" s="11" t="s">
        <v>95</v>
      </c>
      <c r="B1" s="11"/>
      <c r="C1" s="11"/>
      <c r="D1" s="11"/>
    </row>
    <row r="2" spans="1:4" ht="19.5" customHeight="1" x14ac:dyDescent="0.45">
      <c r="A2" s="10" t="s">
        <v>96</v>
      </c>
      <c r="B2" s="10"/>
      <c r="C2" s="10"/>
      <c r="D2" s="10"/>
    </row>
    <row r="4" spans="1:4" ht="24" customHeight="1" x14ac:dyDescent="0.45">
      <c r="A4" s="11" t="s">
        <v>97</v>
      </c>
      <c r="B4" s="11"/>
      <c r="C4" s="11"/>
      <c r="D4" s="11"/>
    </row>
    <row r="5" spans="1:4" ht="30" customHeight="1" x14ac:dyDescent="0.45">
      <c r="A5" s="12" t="s">
        <v>98</v>
      </c>
      <c r="B5" s="12" t="s">
        <v>99</v>
      </c>
      <c r="C5" s="12" t="s">
        <v>100</v>
      </c>
      <c r="D5" s="12" t="s">
        <v>101</v>
      </c>
    </row>
    <row r="6" spans="1:4" ht="42" customHeight="1" x14ac:dyDescent="0.45">
      <c r="A6" s="13" t="s">
        <v>102</v>
      </c>
      <c r="B6" s="15" t="s">
        <v>103</v>
      </c>
      <c r="C6" s="43" t="s">
        <v>104</v>
      </c>
      <c r="D6" s="43" t="s">
        <v>105</v>
      </c>
    </row>
    <row r="7" spans="1:4" ht="42" customHeight="1" x14ac:dyDescent="0.45">
      <c r="A7" s="13" t="s">
        <v>106</v>
      </c>
      <c r="B7" s="15" t="s">
        <v>107</v>
      </c>
      <c r="C7" s="43" t="s">
        <v>104</v>
      </c>
      <c r="D7" s="43" t="s">
        <v>105</v>
      </c>
    </row>
    <row r="8" spans="1:4" ht="42" customHeight="1" x14ac:dyDescent="0.45">
      <c r="A8" s="13" t="s">
        <v>108</v>
      </c>
      <c r="B8" s="15" t="s">
        <v>109</v>
      </c>
      <c r="C8" s="43" t="s">
        <v>104</v>
      </c>
      <c r="D8" s="43" t="s">
        <v>105</v>
      </c>
    </row>
    <row r="9" spans="1:4" ht="42" customHeight="1" x14ac:dyDescent="0.45">
      <c r="A9" s="13" t="s">
        <v>110</v>
      </c>
      <c r="B9" s="15" t="s">
        <v>111</v>
      </c>
      <c r="C9" s="43" t="s">
        <v>104</v>
      </c>
      <c r="D9" s="43" t="s">
        <v>105</v>
      </c>
    </row>
    <row r="10" spans="1:4" ht="42" customHeight="1" x14ac:dyDescent="0.45">
      <c r="A10" s="13" t="s">
        <v>38</v>
      </c>
      <c r="B10" s="15" t="s">
        <v>112</v>
      </c>
      <c r="C10" s="43" t="s">
        <v>104</v>
      </c>
      <c r="D10" s="43" t="s">
        <v>105</v>
      </c>
    </row>
    <row r="11" spans="1:4" ht="42" customHeight="1" x14ac:dyDescent="0.45">
      <c r="A11" s="13" t="s">
        <v>77</v>
      </c>
      <c r="B11" s="15" t="s">
        <v>113</v>
      </c>
      <c r="C11" s="43" t="s">
        <v>104</v>
      </c>
      <c r="D11" s="43" t="s">
        <v>105</v>
      </c>
    </row>
    <row r="12" spans="1:4" ht="42" customHeight="1" x14ac:dyDescent="0.45">
      <c r="A12" s="13" t="s">
        <v>81</v>
      </c>
      <c r="B12" s="15" t="s">
        <v>114</v>
      </c>
      <c r="C12" s="43" t="s">
        <v>104</v>
      </c>
      <c r="D12" s="43" t="s">
        <v>105</v>
      </c>
    </row>
    <row r="14" spans="1:4" ht="24" customHeight="1" x14ac:dyDescent="0.45">
      <c r="A14" s="11" t="s">
        <v>115</v>
      </c>
      <c r="B14" s="11"/>
      <c r="C14" s="11"/>
      <c r="D14" s="11"/>
    </row>
    <row r="15" spans="1:4" ht="30" customHeight="1" x14ac:dyDescent="0.45">
      <c r="A15" s="12" t="s">
        <v>98</v>
      </c>
      <c r="B15" s="12" t="s">
        <v>99</v>
      </c>
      <c r="C15" s="12" t="s">
        <v>100</v>
      </c>
      <c r="D15" s="12" t="s">
        <v>101</v>
      </c>
    </row>
    <row r="16" spans="1:4" ht="42" customHeight="1" x14ac:dyDescent="0.45">
      <c r="A16" s="13" t="s">
        <v>116</v>
      </c>
      <c r="B16" s="15" t="s">
        <v>117</v>
      </c>
      <c r="C16" s="43" t="s">
        <v>118</v>
      </c>
      <c r="D16" s="43" t="s">
        <v>119</v>
      </c>
    </row>
    <row r="17" spans="1:4" ht="42" customHeight="1" x14ac:dyDescent="0.45">
      <c r="A17" s="13" t="s">
        <v>120</v>
      </c>
      <c r="B17" s="15" t="s">
        <v>121</v>
      </c>
      <c r="C17" s="43" t="s">
        <v>118</v>
      </c>
      <c r="D17" s="43" t="s">
        <v>119</v>
      </c>
    </row>
    <row r="18" spans="1:4" ht="42" customHeight="1" x14ac:dyDescent="0.45">
      <c r="A18" s="13" t="s">
        <v>122</v>
      </c>
      <c r="B18" s="15" t="s">
        <v>123</v>
      </c>
      <c r="C18" s="43" t="s">
        <v>118</v>
      </c>
      <c r="D18" s="43" t="s">
        <v>124</v>
      </c>
    </row>
    <row r="19" spans="1:4" ht="42" customHeight="1" x14ac:dyDescent="0.45">
      <c r="A19" s="13" t="s">
        <v>125</v>
      </c>
      <c r="B19" s="15" t="s">
        <v>126</v>
      </c>
      <c r="C19" s="43" t="s">
        <v>118</v>
      </c>
      <c r="D19" s="43" t="s">
        <v>124</v>
      </c>
    </row>
    <row r="20" spans="1:4" ht="42" customHeight="1" x14ac:dyDescent="0.45">
      <c r="A20" s="13" t="s">
        <v>127</v>
      </c>
      <c r="B20" s="15" t="s">
        <v>128</v>
      </c>
      <c r="C20" s="43" t="s">
        <v>118</v>
      </c>
      <c r="D20" s="43" t="s">
        <v>124</v>
      </c>
    </row>
  </sheetData>
  <mergeCells count="4">
    <mergeCell ref="A1:D1"/>
    <mergeCell ref="A2:D2"/>
    <mergeCell ref="A4:D4"/>
    <mergeCell ref="A14:D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Cómo usar este libro</vt:lpstr>
      <vt:lpstr>Tu negocio</vt:lpstr>
      <vt:lpstr>S01-Lab</vt:lpstr>
      <vt:lpstr>S02-Lab</vt:lpstr>
      <vt:lpstr>Vocabulario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Omar Galdamez</cp:lastModifiedBy>
  <cp:revision>0</cp:revision>
  <dcterms:created xsi:type="dcterms:W3CDTF">2026-08-06T19:37:44Z</dcterms:created>
  <dcterms:modified xsi:type="dcterms:W3CDTF">2026-08-17T21:50:10Z</dcterms:modified>
  <dc:language>en-US</dc:language>
</cp:coreProperties>
</file>