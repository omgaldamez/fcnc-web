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13403" windowWidth="21795" windowHeight="13695" tabRatio="500" firstSheet="0" activeTab="2" autoFilterDateGrouping="1"/>
  </bookViews>
  <sheets>
    <sheet xmlns:r="http://schemas.openxmlformats.org/officeDocument/2006/relationships" name="Panel" sheetId="1" state="visible" r:id="rId1"/>
    <sheet xmlns:r="http://schemas.openxmlformats.org/officeDocument/2006/relationships" name="S01-Lab" sheetId="2" state="visible" r:id="rId2"/>
    <sheet xmlns:r="http://schemas.openxmlformats.org/officeDocument/2006/relationships" name="S02-Lab" sheetId="3" state="visible" r:id="rId3"/>
    <sheet xmlns:r="http://schemas.openxmlformats.org/officeDocument/2006/relationships" name="Vocabulario" sheetId="4" state="visible" r:id="rId4"/>
    <sheet xmlns:r="http://schemas.openxmlformats.org/officeDocument/2006/relationships" name="Comprobación" sheetId="5" state="visible" r:id="rId5"/>
  </sheets>
  <definedNames/>
  <calcPr calcId="191029" fullCalcOnLoad="1" iterateDelta="0.0001"/>
</workbook>
</file>

<file path=xl/styles.xml><?xml version="1.0" encoding="utf-8"?>
<styleSheet xmlns="http://schemas.openxmlformats.org/spreadsheetml/2006/main">
  <numFmts count="4">
    <numFmt numFmtId="164" formatCode="#,##0.0"/>
    <numFmt numFmtId="165" formatCode="\$#,##0.00"/>
    <numFmt numFmtId="166" formatCode="\$#,##0"/>
    <numFmt numFmtId="167" formatCode="0.000000"/>
  </numFmts>
  <fonts count="23">
    <font>
      <name val="Calibri"/>
      <charset val="1"/>
      <color theme="1"/>
      <sz val="11"/>
    </font>
    <font>
      <name val="Arial"/>
      <charset val="1"/>
      <b val="1"/>
      <color rgb="FFFFFFFF"/>
      <sz val="12"/>
    </font>
    <font>
      <name val="Arial"/>
      <charset val="1"/>
      <color rgb="FF000000"/>
      <sz val="9.5"/>
    </font>
    <font>
      <name val="Arial"/>
      <charset val="1"/>
      <b val="1"/>
      <color rgb="FF000000"/>
      <sz val="9.5"/>
    </font>
    <font>
      <name val="Arial"/>
      <charset val="1"/>
      <color rgb="FF000000"/>
      <sz val="10"/>
    </font>
    <font>
      <name val="Arial"/>
      <charset val="1"/>
      <color rgb="FF000000"/>
      <sz val="9"/>
    </font>
    <font>
      <name val="Arial"/>
      <charset val="1"/>
      <b val="1"/>
      <color rgb="FFFFFFFF"/>
      <sz val="10"/>
    </font>
    <font>
      <name val="Arial"/>
      <charset val="1"/>
      <b val="1"/>
      <color rgb="FFFFFFFF"/>
      <sz val="9.5"/>
    </font>
    <font>
      <name val="Arial"/>
      <charset val="1"/>
      <b val="1"/>
      <color rgb="FF000000"/>
      <sz val="10"/>
    </font>
    <font>
      <name val="Arial"/>
      <charset val="1"/>
      <b val="1"/>
      <color rgb="FFFFFFFF"/>
      <sz val="11"/>
    </font>
    <font>
      <name val="Arial"/>
      <charset val="1"/>
      <b val="1"/>
      <color rgb="FF000000"/>
      <sz val="13"/>
    </font>
    <font>
      <name val="Arial"/>
      <charset val="1"/>
      <b val="1"/>
      <color rgb="FF2B579A"/>
      <sz val="10"/>
    </font>
    <font>
      <name val="Arial"/>
      <charset val="1"/>
      <color theme="1"/>
      <sz val="10"/>
    </font>
    <font>
      <name val="Arial"/>
      <charset val="1"/>
      <color theme="1"/>
      <sz val="9"/>
    </font>
    <font>
      <name val="Arial"/>
      <charset val="1"/>
      <b val="1"/>
      <color rgb="FFFFFFFF"/>
      <sz val="9"/>
    </font>
    <font>
      <name val="Arial"/>
      <charset val="1"/>
      <sz val="9.5"/>
    </font>
    <font>
      <name val="Arial"/>
      <charset val="1"/>
      <sz val="9"/>
    </font>
    <font>
      <name val="Arial"/>
      <charset val="1"/>
      <family val="0"/>
      <b val="1"/>
      <color rgb="FFFFFFFF"/>
      <sz val="12"/>
    </font>
    <font>
      <name val="Arial"/>
      <charset val="1"/>
      <family val="0"/>
      <color rgb="FF000000"/>
      <sz val="9.5"/>
    </font>
    <font>
      <name val="Arial"/>
      <charset val="1"/>
      <family val="0"/>
      <b val="1"/>
      <color rgb="FFFFFFFF"/>
      <sz val="9.5"/>
    </font>
    <font>
      <name val="Arial"/>
      <charset val="1"/>
      <family val="0"/>
      <color rgb="FF000000"/>
      <sz val="10"/>
    </font>
    <font>
      <name val="Arial"/>
      <charset val="1"/>
      <family val="0"/>
      <b val="1"/>
      <color rgb="FF000000"/>
      <sz val="10"/>
    </font>
    <font>
      <name val="Arial"/>
      <charset val="1"/>
      <family val="0"/>
      <color rgb="FF000000"/>
      <sz val="9"/>
    </font>
  </fonts>
  <fills count="12">
    <fill>
      <patternFill/>
    </fill>
    <fill>
      <patternFill patternType="gray125"/>
    </fill>
    <fill>
      <patternFill patternType="solid">
        <fgColor rgb="FF2B579A"/>
        <bgColor rgb="FF0066CC"/>
      </patternFill>
    </fill>
    <fill>
      <patternFill patternType="solid">
        <fgColor rgb="FFFFF8EC"/>
        <bgColor rgb="FFF3F3F3"/>
      </patternFill>
    </fill>
    <fill>
      <patternFill patternType="solid">
        <fgColor rgb="FFF3F3F3"/>
        <bgColor rgb="FFFFF8EC"/>
      </patternFill>
    </fill>
    <fill>
      <patternFill patternType="solid">
        <fgColor rgb="FFCFE2F3"/>
        <bgColor rgb="FFD9EAD3"/>
      </patternFill>
    </fill>
    <fill>
      <patternFill patternType="solid">
        <fgColor rgb="FFD9EAD3"/>
        <bgColor rgb="FFCFE2F3"/>
      </patternFill>
    </fill>
    <fill>
      <patternFill patternType="solid">
        <fgColor rgb="FFFCE5CD"/>
        <bgColor rgb="FFF3F3F3"/>
      </patternFill>
    </fill>
    <fill>
      <patternFill patternType="solid">
        <fgColor rgb="FFD9EAD3"/>
        <bgColor rgb="FFD9EAD3"/>
      </patternFill>
    </fill>
    <fill>
      <patternFill patternType="solid">
        <fgColor rgb="FFF3F3F3"/>
        <bgColor rgb="FFF3F3F3"/>
      </patternFill>
    </fill>
    <fill>
      <patternFill patternType="solid">
        <fgColor rgb="FFFFF8EC"/>
        <bgColor rgb="FFFFF8EC"/>
      </patternFill>
    </fill>
    <fill>
      <patternFill patternType="solid">
        <fgColor rgb="FFFCE5CD"/>
        <bgColor rgb="FFFCE5CD"/>
      </patternFill>
    </fill>
  </fills>
  <borders count="2">
    <border>
      <left/>
      <right/>
      <top/>
      <bottom/>
      <diagonal/>
    </border>
    <border>
      <left style="thin">
        <color rgb="FFC9CDD3"/>
      </left>
      <right style="thin">
        <color rgb="FFC9CDD3"/>
      </right>
      <top style="thin">
        <color rgb="FFC9CDD3"/>
      </top>
      <bottom style="thin">
        <color rgb="FFC9CDD3"/>
      </bottom>
      <diagonal/>
    </border>
  </borders>
  <cellStyleXfs count="1">
    <xf numFmtId="0" fontId="0" fillId="0" borderId="0"/>
  </cellStyleXfs>
  <cellXfs count="85">
    <xf numFmtId="0" fontId="0" fillId="0" borderId="0" pivotButton="0" quotePrefix="0" xfId="0"/>
    <xf numFmtId="1" fontId="4" fillId="6" borderId="0" applyAlignment="1" pivotButton="0" quotePrefix="0" xfId="0">
      <alignment horizontal="center" vertical="center" wrapText="1"/>
    </xf>
    <xf numFmtId="0" fontId="7" fillId="2" borderId="0" applyAlignment="1" pivotButton="0" quotePrefix="0" xfId="0">
      <alignment vertical="center" wrapText="1"/>
    </xf>
    <xf numFmtId="0" fontId="3" fillId="4" borderId="0" applyAlignment="1" pivotButton="0" quotePrefix="0" xfId="0">
      <alignment vertical="center" wrapText="1"/>
    </xf>
    <xf numFmtId="0" fontId="7" fillId="2" borderId="0" applyAlignment="1" pivotButton="0" quotePrefix="0" xfId="0">
      <alignment horizontal="center" vertical="center" wrapText="1"/>
    </xf>
    <xf numFmtId="0" fontId="4" fillId="0" borderId="0" applyAlignment="1" pivotButton="0" quotePrefix="0" xfId="0">
      <alignment vertical="center" wrapText="1"/>
    </xf>
    <xf numFmtId="164" fontId="4" fillId="6" borderId="0" applyAlignment="1" pivotButton="0" quotePrefix="0" xfId="0">
      <alignment horizontal="center" vertical="center" wrapText="1"/>
    </xf>
    <xf numFmtId="164" fontId="4" fillId="4" borderId="0" applyAlignment="1" pivotButton="0" quotePrefix="0" xfId="0">
      <alignment horizontal="center" vertical="center" wrapText="1"/>
    </xf>
    <xf numFmtId="0" fontId="5" fillId="0" borderId="0" applyAlignment="1" pivotButton="0" quotePrefix="0" xfId="0">
      <alignment vertical="center" wrapText="1"/>
    </xf>
    <xf numFmtId="165" fontId="4" fillId="4" borderId="0" applyAlignment="1" pivotButton="0" quotePrefix="0" xfId="0">
      <alignment horizontal="center" vertical="center" wrapText="1"/>
    </xf>
    <xf numFmtId="166" fontId="4" fillId="6" borderId="0" applyAlignment="1" pivotButton="0" quotePrefix="0" xfId="0">
      <alignment horizontal="center" vertical="center" wrapText="1"/>
    </xf>
    <xf numFmtId="0" fontId="8" fillId="0" borderId="0" applyAlignment="1" pivotButton="0" quotePrefix="0" xfId="0">
      <alignment vertical="center" wrapText="1"/>
    </xf>
    <xf numFmtId="3" fontId="4" fillId="4" borderId="0" applyAlignment="1" pivotButton="0" quotePrefix="0" xfId="0">
      <alignment horizontal="center" vertical="center" wrapText="1"/>
    </xf>
    <xf numFmtId="4" fontId="4" fillId="4" borderId="0" applyAlignment="1" pivotButton="0" quotePrefix="0" xfId="0">
      <alignment horizontal="center" vertical="center" wrapText="1"/>
    </xf>
    <xf numFmtId="0" fontId="3" fillId="6" borderId="0" applyAlignment="1" pivotButton="0" quotePrefix="0" xfId="0">
      <alignment horizontal="center" vertical="center" wrapText="1"/>
    </xf>
    <xf numFmtId="0" fontId="12" fillId="6" borderId="1" pivotButton="0" quotePrefix="0" xfId="0"/>
    <xf numFmtId="0" fontId="12" fillId="5" borderId="1" pivotButton="0" quotePrefix="0" xfId="0"/>
    <xf numFmtId="0" fontId="12" fillId="4" borderId="1" pivotButton="0" quotePrefix="0" xfId="0"/>
    <xf numFmtId="0" fontId="14" fillId="2" borderId="1" applyAlignment="1" pivotButton="0" quotePrefix="0" xfId="0">
      <alignment horizontal="center" vertical="center" wrapText="1"/>
    </xf>
    <xf numFmtId="165" fontId="12" fillId="5" borderId="1" pivotButton="0" quotePrefix="0" xfId="0"/>
    <xf numFmtId="9" fontId="12" fillId="6" borderId="1" applyAlignment="1" pivotButton="0" quotePrefix="0" xfId="0">
      <alignment horizontal="center"/>
    </xf>
    <xf numFmtId="165" fontId="12" fillId="4" borderId="1" pivotButton="0" quotePrefix="0" xfId="0"/>
    <xf numFmtId="0" fontId="13" fillId="4" borderId="1" applyAlignment="1" pivotButton="0" quotePrefix="0" xfId="0">
      <alignment vertical="top" wrapText="1"/>
    </xf>
    <xf numFmtId="0" fontId="8" fillId="6" borderId="1" pivotButton="0" quotePrefix="0" xfId="0"/>
    <xf numFmtId="165" fontId="12" fillId="6" borderId="1" pivotButton="0" quotePrefix="0" xfId="0"/>
    <xf numFmtId="165" fontId="8" fillId="7" borderId="1" pivotButton="0" quotePrefix="0" xfId="0"/>
    <xf numFmtId="0" fontId="12" fillId="4" borderId="1" applyAlignment="1" pivotButton="0" quotePrefix="0" xfId="0">
      <alignment horizontal="center"/>
    </xf>
    <xf numFmtId="9" fontId="12" fillId="4" borderId="1" applyAlignment="1" pivotButton="0" quotePrefix="0" xfId="0">
      <alignment horizontal="center"/>
    </xf>
    <xf numFmtId="0" fontId="8" fillId="4" borderId="1" pivotButton="0" quotePrefix="0" xfId="0"/>
    <xf numFmtId="1" fontId="4" fillId="5" borderId="0" applyAlignment="1" pivotButton="0" quotePrefix="0" xfId="0">
      <alignment vertical="center"/>
    </xf>
    <xf numFmtId="164" fontId="4" fillId="5" borderId="0" applyAlignment="1" pivotButton="0" quotePrefix="0" xfId="0">
      <alignment vertical="center"/>
    </xf>
    <xf numFmtId="166" fontId="4" fillId="5" borderId="0" applyAlignment="1" pivotButton="0" quotePrefix="0" xfId="0">
      <alignment vertical="center"/>
    </xf>
    <xf numFmtId="1" fontId="4" fillId="6" borderId="0" applyAlignment="1" pivotButton="0" quotePrefix="0" xfId="0">
      <alignment vertical="center"/>
    </xf>
    <xf numFmtId="4" fontId="4" fillId="4" borderId="0" pivotButton="0" quotePrefix="0" xfId="0"/>
    <xf numFmtId="164" fontId="4" fillId="6" borderId="0" applyAlignment="1" pivotButton="0" quotePrefix="0" xfId="0">
      <alignment vertical="center"/>
    </xf>
    <xf numFmtId="164" fontId="4" fillId="4" borderId="0" applyAlignment="1" pivotButton="0" quotePrefix="0" xfId="0">
      <alignment vertical="center"/>
    </xf>
    <xf numFmtId="165" fontId="4" fillId="4" borderId="0" applyAlignment="1" pivotButton="0" quotePrefix="0" xfId="0">
      <alignment vertical="center"/>
    </xf>
    <xf numFmtId="165" fontId="8" fillId="4" borderId="0" applyAlignment="1" pivotButton="0" quotePrefix="0" xfId="0">
      <alignment vertical="center"/>
    </xf>
    <xf numFmtId="0" fontId="16" fillId="0" borderId="0" applyAlignment="1" pivotButton="0" quotePrefix="0" xfId="0">
      <alignment vertical="center" wrapText="1"/>
    </xf>
    <xf numFmtId="165" fontId="5" fillId="0" borderId="0" applyAlignment="1" pivotButton="0" quotePrefix="0" xfId="0">
      <alignment vertical="center" wrapText="1"/>
    </xf>
    <xf numFmtId="0" fontId="14" fillId="2" borderId="0" applyAlignment="1" pivotButton="0" quotePrefix="0" xfId="0">
      <alignment vertical="center" wrapText="1"/>
    </xf>
    <xf numFmtId="0" fontId="8" fillId="4" borderId="0" applyAlignment="1" pivotButton="0" quotePrefix="0" xfId="0">
      <alignment vertical="center" wrapText="1"/>
    </xf>
    <xf numFmtId="0" fontId="5" fillId="4" borderId="0" applyAlignment="1" pivotButton="0" quotePrefix="0" xfId="0">
      <alignment vertical="center" wrapText="1"/>
    </xf>
    <xf numFmtId="0" fontId="5" fillId="4" borderId="0" applyAlignment="1" pivotButton="0" quotePrefix="0" xfId="0">
      <alignment vertical="center"/>
    </xf>
    <xf numFmtId="164" fontId="4" fillId="8" borderId="0" applyAlignment="1" pivotButton="0" quotePrefix="0" xfId="0">
      <alignment horizontal="center" vertical="center" wrapText="1"/>
    </xf>
    <xf numFmtId="166" fontId="4" fillId="8" borderId="0" applyAlignment="1" pivotButton="0" quotePrefix="0" xfId="0">
      <alignment horizontal="center" vertical="center" wrapText="1"/>
    </xf>
    <xf numFmtId="1" fontId="4"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3" fillId="9" borderId="0" applyAlignment="1" pivotButton="0" quotePrefix="0" xfId="0">
      <alignment horizontal="center" vertical="center" wrapText="1"/>
    </xf>
    <xf numFmtId="0" fontId="9" fillId="2" borderId="0" applyAlignment="1" pivotButton="0" quotePrefix="0" xfId="0">
      <alignment vertical="center" wrapText="1"/>
    </xf>
    <xf numFmtId="0" fontId="0" fillId="0" borderId="0" pivotButton="0" quotePrefix="0" xfId="0"/>
    <xf numFmtId="0" fontId="2" fillId="3" borderId="0" applyAlignment="1" pivotButton="0" quotePrefix="0" xfId="0">
      <alignment vertical="center" wrapText="1"/>
    </xf>
    <xf numFmtId="0" fontId="15" fillId="3" borderId="0" applyAlignment="1" pivotButton="0" quotePrefix="0" xfId="0">
      <alignment vertical="center" wrapText="1"/>
    </xf>
    <xf numFmtId="0" fontId="2" fillId="0" borderId="0" applyAlignment="1" pivotButton="0" quotePrefix="0" xfId="0">
      <alignment vertical="center" wrapText="1"/>
    </xf>
    <xf numFmtId="1" fontId="4" fillId="6" borderId="0" applyAlignment="1" pivotButton="0" quotePrefix="0" xfId="0">
      <alignment horizontal="center" vertical="center" wrapText="1"/>
    </xf>
    <xf numFmtId="0" fontId="7"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5" fillId="0" borderId="0" applyAlignment="1" pivotButton="0" quotePrefix="0" xfId="0">
      <alignment horizontal="center" vertical="center" wrapText="1"/>
    </xf>
    <xf numFmtId="0" fontId="6" fillId="2" borderId="0" applyAlignment="1" pivotButton="0" quotePrefix="0" xfId="0">
      <alignment vertical="center" wrapText="1"/>
    </xf>
    <xf numFmtId="4" fontId="4" fillId="6" borderId="0" applyAlignment="1" pivotButton="0" quotePrefix="0" xfId="0">
      <alignment horizontal="center" vertical="center" wrapText="1"/>
    </xf>
    <xf numFmtId="0" fontId="1" fillId="2" borderId="0" applyAlignment="1" pivotButton="0" quotePrefix="0" xfId="0">
      <alignment vertical="center" wrapText="1"/>
    </xf>
    <xf numFmtId="0" fontId="7" fillId="2" borderId="0" applyAlignment="1" pivotButton="0" quotePrefix="0" xfId="0">
      <alignment vertical="center" wrapText="1"/>
    </xf>
    <xf numFmtId="0" fontId="4" fillId="8" borderId="0" applyAlignment="1" pivotButton="0" quotePrefix="0" xfId="0">
      <alignment horizontal="center" vertical="center" wrapText="1"/>
    </xf>
    <xf numFmtId="0" fontId="9" fillId="2" borderId="0" pivotButton="0" quotePrefix="0" xfId="0"/>
    <xf numFmtId="0" fontId="11" fillId="0" borderId="0" pivotButton="0" quotePrefix="0" xfId="0"/>
    <xf numFmtId="0" fontId="13" fillId="3" borderId="0" applyAlignment="1" pivotButton="0" quotePrefix="0" xfId="0">
      <alignment vertical="top" wrapText="1"/>
    </xf>
    <xf numFmtId="0" fontId="10" fillId="0" borderId="0" pivotButton="0" quotePrefix="0" xfId="0"/>
    <xf numFmtId="0" fontId="12" fillId="0" borderId="0" pivotButton="0" quotePrefix="0" xfId="0"/>
    <xf numFmtId="0" fontId="9" fillId="2" borderId="0" applyAlignment="1" pivotButton="0" quotePrefix="0" xfId="0">
      <alignment vertical="center"/>
    </xf>
    <xf numFmtId="0" fontId="4" fillId="0" borderId="0" applyAlignment="1" pivotButton="0" quotePrefix="0" xfId="0">
      <alignment vertical="center" wrapText="1"/>
    </xf>
    <xf numFmtId="0" fontId="2" fillId="10" borderId="0" applyAlignment="1" pivotButton="0" quotePrefix="0" xfId="0">
      <alignment vertical="center" wrapText="1"/>
    </xf>
    <xf numFmtId="0" fontId="8" fillId="11" borderId="0" applyAlignment="1" pivotButton="0" quotePrefix="0" xfId="0">
      <alignment horizontal="center" vertical="center" wrapText="1"/>
    </xf>
    <xf numFmtId="0" fontId="17" fillId="2" borderId="0" applyAlignment="1" pivotButton="0" quotePrefix="0" xfId="0">
      <alignment horizontal="general" vertical="center" wrapText="1"/>
    </xf>
    <xf numFmtId="0" fontId="18" fillId="3" borderId="0" applyAlignment="1" pivotButton="0" quotePrefix="0" xfId="0">
      <alignment horizontal="general" vertical="center" wrapText="1"/>
    </xf>
    <xf numFmtId="0" fontId="19" fillId="2" borderId="0" applyAlignment="1" pivotButton="0" quotePrefix="0" xfId="0">
      <alignment horizontal="general" vertical="center" wrapText="1"/>
    </xf>
    <xf numFmtId="0" fontId="20" fillId="0" borderId="0" applyAlignment="1" pivotButton="0" quotePrefix="0" xfId="0">
      <alignment horizontal="general" vertical="center" wrapText="1"/>
    </xf>
    <xf numFmtId="165" fontId="20" fillId="4" borderId="0" applyAlignment="1" pivotButton="0" quotePrefix="0" xfId="0">
      <alignment horizontal="center" vertical="center" wrapText="1"/>
    </xf>
    <xf numFmtId="167" fontId="20" fillId="4" borderId="0" applyAlignment="1" pivotButton="0" quotePrefix="0" xfId="0">
      <alignment horizontal="center" vertical="center" wrapText="1"/>
    </xf>
    <xf numFmtId="0" fontId="21" fillId="4" borderId="0" applyAlignment="1" pivotButton="0" quotePrefix="0" xfId="0">
      <alignment horizontal="center" vertical="center" wrapText="1"/>
    </xf>
    <xf numFmtId="0" fontId="22" fillId="0" borderId="0" applyAlignment="1" pivotButton="0" quotePrefix="0" xfId="0">
      <alignment horizontal="general" vertical="center" wrapText="1"/>
    </xf>
    <xf numFmtId="0" fontId="21" fillId="4" borderId="0" applyAlignment="1" pivotButton="0" quotePrefix="0" xfId="0">
      <alignment horizontal="general" vertical="center" wrapText="1"/>
    </xf>
    <xf numFmtId="0" fontId="20" fillId="4" borderId="0" applyAlignment="1" pivotButton="0" quotePrefix="0" xfId="0">
      <alignment horizontal="general" vertical="center" wrapText="1"/>
    </xf>
    <xf numFmtId="165" fontId="20" fillId="0" borderId="0" applyAlignment="1" pivotButton="0" quotePrefix="0" xfId="0">
      <alignment horizontal="center" vertical="center" wrapText="1"/>
    </xf>
    <xf numFmtId="167" fontId="20" fillId="0" borderId="0" applyAlignment="1" pivotButton="0" quotePrefix="0" xfId="0">
      <alignment horizontal="center" vertical="center" wrapText="1"/>
    </xf>
    <xf numFmtId="0" fontId="21"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DD3"/>
      <rgbColor rgb="FF808080"/>
      <rgbColor rgb="FF9999FF"/>
      <rgbColor rgb="FF993366"/>
      <rgbColor rgb="FFFFF8EC"/>
      <rgbColor rgb="FFF3F3F3"/>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5C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B579A"/>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topLeftCell="A7" zoomScale="85" zoomScaleNormal="85" workbookViewId="0">
      <selection activeCell="F16" sqref="F16"/>
    </sheetView>
  </sheetViews>
  <sheetFormatPr baseColWidth="8" defaultColWidth="8.6640625" defaultRowHeight="14.25"/>
  <cols>
    <col width="34" customWidth="1" style="50" min="1" max="1"/>
    <col width="23.46484375" customWidth="1" style="50" min="2" max="2"/>
    <col width="15" customWidth="1" style="50" min="3" max="3"/>
    <col width="2" customWidth="1" style="50" min="4" max="4"/>
    <col width="38.3984375" customWidth="1" style="50" min="5" max="5"/>
    <col width="22.265625" customWidth="1" style="50" min="6" max="6"/>
    <col width="14" customWidth="1" style="50" min="7" max="7"/>
    <col width="44" customWidth="1" style="50" min="8" max="8"/>
  </cols>
  <sheetData>
    <row r="1" ht="25.5" customHeight="1" s="50">
      <c r="A1" s="60" t="inlineStr">
        <is>
          <t>PANEL  ·  DOS NEGOCIOS, LADO A LADO</t>
        </is>
      </c>
    </row>
    <row r="2" ht="31.5" customHeight="1" s="50">
      <c r="A2" s="51" t="inlineStr">
        <is>
          <t>Escribe en las celdas verdes, en las dos columnas. La de la izquierda es tu referente: un negocio real que investigues, parecido o no al tuyo, para comparar parejo. Los dos usan los mismos tres movimientos. Lee cruzando el renglón.</t>
        </is>
      </c>
    </row>
    <row r="4" ht="30" customHeight="1" s="50">
      <c r="A4" s="3" t="inlineStr">
        <is>
          <t>Nombre del referente</t>
        </is>
      </c>
      <c r="B4" s="62" t="inlineStr">
        <is>
          <t>Investiga un negocio real y escribe su nombre aquí</t>
        </is>
      </c>
      <c r="E4" s="3" t="inlineStr">
        <is>
          <t>De dónde salen sus números</t>
        </is>
      </c>
      <c r="F4" s="62" t="inlineStr">
        <is>
          <t>Escribe de dónde sacaste esos números (una fuente, una entrevista, el sitio del negocio)</t>
        </is>
      </c>
    </row>
    <row r="6" ht="15" customHeight="1" s="50">
      <c r="A6" s="58" t="inlineStr">
        <is>
          <t>LOS SUPUESTOS Y LOS MOVIMIENTOS</t>
        </is>
      </c>
      <c r="E6" s="58" t="inlineStr">
        <is>
          <t>EL MES ACTUAL, CUÁNTO SUMA CADA CAMINO Y DÓNDE SE VOLTEA</t>
        </is>
      </c>
    </row>
    <row r="7" ht="24" customHeight="1" s="50">
      <c r="A7" s="61" t="inlineStr">
        <is>
          <t>Concepto</t>
        </is>
      </c>
      <c r="B7" s="55">
        <f>$B$4</f>
        <v/>
      </c>
      <c r="C7" s="55" t="inlineStr">
        <is>
          <t>Tu negocio</t>
        </is>
      </c>
      <c r="E7" s="61" t="inlineStr">
        <is>
          <t>Resultado</t>
        </is>
      </c>
      <c r="F7" s="55">
        <f>$B$4</f>
        <v/>
      </c>
      <c r="G7" s="55" t="inlineStr">
        <is>
          <t>Tu negocio</t>
        </is>
      </c>
      <c r="H7" s="61" t="inlineStr">
        <is>
          <t>Cómo se calcula (referente / tuyo)</t>
        </is>
      </c>
    </row>
    <row r="8" ht="39.75" customHeight="1" s="50">
      <c r="A8" s="69" t="inlineStr">
        <is>
          <t>Clientes por día</t>
        </is>
      </c>
      <c r="B8" s="44" t="n">
        <v>87</v>
      </c>
      <c r="C8" s="6" t="n">
        <v>18</v>
      </c>
      <c r="E8" s="69" t="inlineStr">
        <is>
          <t>Unidades por día</t>
        </is>
      </c>
      <c r="F8" s="7">
        <f>B8*B9</f>
        <v/>
      </c>
      <c r="G8" s="7">
        <f>C8*C9</f>
        <v/>
      </c>
      <c r="H8" s="8">
        <f>"clientes por día ("&amp;B8&amp;" / "&amp;C8&amp;") × unidades por cada cliente ("&amp;B9&amp;" / "&amp;C9&amp;")"</f>
        <v/>
      </c>
    </row>
    <row r="9" ht="39.75" customHeight="1" s="50">
      <c r="A9" s="69" t="inlineStr">
        <is>
          <t>Unidades por cada cliente</t>
        </is>
      </c>
      <c r="B9" s="44" t="n">
        <v>3.5</v>
      </c>
      <c r="C9" s="6" t="n">
        <v>5.6</v>
      </c>
      <c r="E9" s="69" t="inlineStr">
        <is>
          <t>Ingreso por día</t>
        </is>
      </c>
      <c r="F9" s="9">
        <f>F8*B10</f>
        <v/>
      </c>
      <c r="G9" s="9">
        <f>G8*C10</f>
        <v/>
      </c>
      <c r="H9" s="8">
        <f>"unidades por día ("&amp;ROUND(F8,1)&amp;" / "&amp;ROUND(G8,1)&amp;") × precio ("&amp;TEXT(B10,"$#,##0")&amp;" / "&amp;TEXT(C10,"$#,##0")&amp;")"</f>
        <v/>
      </c>
    </row>
    <row r="10" ht="39.75" customHeight="1" s="50">
      <c r="A10" s="69" t="inlineStr">
        <is>
          <t>Precio de la unidad</t>
        </is>
      </c>
      <c r="B10" s="45" t="n">
        <v>22</v>
      </c>
      <c r="C10" s="10" t="n">
        <v>55</v>
      </c>
      <c r="E10" s="69" t="inlineStr">
        <is>
          <t>Ingreso del mes</t>
        </is>
      </c>
      <c r="F10" s="9">
        <f>F9*B11</f>
        <v/>
      </c>
      <c r="G10" s="9">
        <f>G9*C11</f>
        <v/>
      </c>
      <c r="H10" s="8">
        <f>"ingreso por día ("&amp;TEXT(F9,"$#,##0")&amp;" / "&amp;TEXT(G9,"$#,##0")&amp;") × días abiertos ("&amp;B11&amp;" / "&amp;C11&amp;")"</f>
        <v/>
      </c>
    </row>
    <row r="11" ht="39.75" customHeight="1" s="50">
      <c r="A11" s="69" t="inlineStr">
        <is>
          <t>Días abiertos al mes</t>
        </is>
      </c>
      <c r="B11" s="46" t="n">
        <v>26</v>
      </c>
      <c r="C11" s="54" t="n">
        <v>26</v>
      </c>
      <c r="E11" s="55" t="inlineStr">
        <is>
          <t>LOS TRES CAMINOS  ·  CADA UNO MUEVE UNA SOLA COSA</t>
        </is>
      </c>
    </row>
    <row r="12" ht="39.75" customHeight="1" s="50">
      <c r="A12" s="61" t="inlineStr">
        <is>
          <t>LOS TRES MOVIMIENTOS  ·  los mismos para los dos negocios</t>
        </is>
      </c>
      <c r="E12" s="70" t="inlineStr">
        <is>
          <t>Cuánto suma cada camino, moviendo lo de la izquierda.</t>
        </is>
      </c>
    </row>
    <row r="13" ht="63.75" customHeight="1" s="50">
      <c r="A13" s="69" t="inlineStr">
        <is>
          <t>Clientes nuevos esperados al mes</t>
        </is>
      </c>
      <c r="B13" s="54" t="n">
        <v>2</v>
      </c>
      <c r="E13" s="69">
        <f>"Si traes "&amp;$B$13&amp;IF($B$13=1," cliente nuevo"," clientes nuevos")&amp;" al mes"</f>
        <v/>
      </c>
      <c r="F13" s="9">
        <f>B9*B10*B11*($B$13/B11)</f>
        <v/>
      </c>
      <c r="G13" s="9">
        <f>C9*C10*C11*($B$13/C11)</f>
        <v/>
      </c>
      <c r="H13" s="8">
        <f>"unidades por cada cliente ("&amp;B9&amp;" / "&amp;C9&amp;") × "&amp;"precio ("&amp;TEXT(B10,"$#,##0")&amp;" / "&amp;TEXT(C10,"$#,##0")&amp;")"&amp;" × "&amp;"días abiertos ("&amp;B11&amp;" / "&amp;C11&amp;")"&amp;" × clientes nuevos al mes, repartidos por día ("&amp;ROUND($B$13/B11,2)&amp;" / "&amp;ROUND($B$13/C11,2)&amp;")"</f>
        <v/>
      </c>
    </row>
    <row r="14" ht="39.75" customHeight="1" s="50">
      <c r="A14" s="69" t="inlineStr">
        <is>
          <t>Unidades adicionales por cliente</t>
        </is>
      </c>
      <c r="B14" s="59" t="n">
        <v>0.31</v>
      </c>
      <c r="E14" s="69">
        <f>"Si cada cliente lleva "&amp;$B$14&amp;" unidades más"</f>
        <v/>
      </c>
      <c r="F14" s="9">
        <f>B8*B10*B11*$B$14</f>
        <v/>
      </c>
      <c r="G14" s="9">
        <f>C8*C10*C11*$B$14</f>
        <v/>
      </c>
      <c r="H14" s="8">
        <f>"clientes por día ("&amp;B8&amp;" / "&amp;C8&amp;") × "&amp;"precio ("&amp;TEXT(B10,"$#,##0")&amp;" / "&amp;TEXT(C10,"$#,##0")&amp;")"&amp;" × "&amp;"días abiertos ("&amp;B11&amp;" / "&amp;C11&amp;")"&amp;" × unidades adicionales ("&amp;$B$14&amp;")"</f>
        <v/>
      </c>
    </row>
    <row r="15" ht="39.75" customHeight="1" s="50">
      <c r="A15" s="69" t="inlineStr">
        <is>
          <t>Días adicionales al mes</t>
        </is>
      </c>
      <c r="B15" s="54" t="n">
        <v>1</v>
      </c>
      <c r="E15" s="69">
        <f>"Si abres "&amp;$B$15&amp;IF($B$15=1," día"," días")&amp;" más al mes"</f>
        <v/>
      </c>
      <c r="F15" s="9">
        <f>B8*B9*B10*$B$15</f>
        <v/>
      </c>
      <c r="G15" s="9">
        <f>C8*C9*C10*$B$15</f>
        <v/>
      </c>
      <c r="H15" s="8">
        <f>"clientes por día ("&amp;B8&amp;" / "&amp;C8&amp;") × unidades por cada cliente ("&amp;B9&amp;" / "&amp;C9&amp;") × "&amp;"precio ("&amp;TEXT(B10,"$#,##0")&amp;" / "&amp;TEXT(C10,"$#,##0")&amp;")"&amp;" × días adicionales ("&amp;$B$15&amp;")"</f>
        <v/>
      </c>
    </row>
    <row r="16" ht="58.15" customHeight="1" s="50">
      <c r="A16" s="56" t="inlineStr">
        <is>
          <t>Los dos negocios no tienen por qué dar la misma respuesta, y ese es el punto: lo que decide es la proporción entre cuánta gente entra y cuánto se lleva cada quien. Compara los tres puntos de quiebre de cada columna y pregúntate cuál de esos tres movimientos está más a tu alcance el mes que entra. Eso no lo contesta ninguna celda.</t>
        </is>
      </c>
      <c r="E16" s="11" t="inlineStr">
        <is>
          <t>LA MÉTRICA QUE IMPORTA</t>
        </is>
      </c>
      <c r="F16" s="71">
        <f>IF(F14&gt;F13,"subirle a cada cliente","traer más clientes")</f>
        <v/>
      </c>
      <c r="G16" s="71">
        <f>IF(G14&gt;G13,"subirle a cada cliente","traer más clientes")</f>
        <v/>
      </c>
      <c r="H16" s="8" t="inlineStr">
        <is>
          <t>Compara solo dos de los tres renglones de arriba: «Si traes clientes» contra «Si cada cliente lleva más», en pesos. Contar unidades da la misma respuesta. No entra el Camino C, que tiene tope, ni lo que cuesta cada movimiento: eso lo decides tú.</t>
        </is>
      </c>
    </row>
    <row r="17" ht="46.5" customHeight="1" s="50">
      <c r="E17" s="69" t="inlineStr">
        <is>
          <t>Clientes adicionales con los que ganaría el A</t>
        </is>
      </c>
      <c r="F17" s="12">
        <f>IF($B$13&gt;=ROUNDUP(MAX(F14,F15)/(B9*B10),0),"Ya ganas · bastaba con "&amp;ROUNDUP(MAX(F14,F15)/(B9*B10),0)&amp;" al mes",ROUNDUP(MAX(F14,F15)/(B9*B10),0)&amp;" al mes")</f>
        <v/>
      </c>
      <c r="G17" s="12">
        <f>IF($B$13&gt;=ROUNDUP(MAX(G14,G15)/(C9*C10),0),"Ya ganas · bastaba con "&amp;ROUNDUP(MAX(G14,G15)/(C9*C10),0)&amp;" al mes",ROUNDUP(MAX(G14,G15)/(C9*C10),0)&amp;" al mes")</f>
        <v/>
      </c>
      <c r="H17" s="8">
        <f>"Cuántos clientes nuevos al mes harían falta para que el Camino A pasara al primer lugar, dejando los otros dos movimientos como están ahora ("&amp;B14&amp;" y "&amp;B15&amp;"). Si mueves cualquiera de esos dos, este número cambia."</f>
        <v/>
      </c>
    </row>
    <row r="18" ht="38.25" customHeight="1" s="50">
      <c r="A18" s="14" t="inlineStr">
        <is>
          <t>VERDE</t>
        </is>
      </c>
      <c r="B18" s="57" t="inlineStr">
        <is>
          <t>Escribes tú.</t>
        </is>
      </c>
      <c r="E18" s="69" t="inlineStr">
        <is>
          <t>Unidades adicionales con las que ganaría el B</t>
        </is>
      </c>
      <c r="F18" s="13">
        <f>IF(B14&gt;=ROUNDUP(MAX(F13,F15)/(B8*B10*B11),2),"Ya ganas · bastaba con "&amp;ROUNDUP(MAX(F13,F15)/(B8*B10*B11),2),ROUNDUP(MAX(F13,F15)/(B8*B10*B11),2))</f>
        <v/>
      </c>
      <c r="G18" s="13">
        <f>IF(B14&gt;=ROUNDUP(MAX(G13,G15)/(C8*C10*C11),2),"Ya ganas · bastaba con "&amp;ROUNDUP(MAX(G13,G15)/(C8*C10*C11),2),ROUNDUP(MAX(G13,G15)/(C8*C10*C11),2))</f>
        <v/>
      </c>
      <c r="H18" s="8">
        <f>"Lo mismo para el Camino B, con los otros dos movimientos en "&amp;B13&amp;" al mes y "&amp;B15&amp;"."</f>
        <v/>
      </c>
    </row>
    <row r="19" ht="43.5" customHeight="1" s="50">
      <c r="A19" s="48" t="inlineStr">
        <is>
          <t>GRIS</t>
        </is>
      </c>
      <c r="B19" s="57" t="inlineStr">
        <is>
          <t>Calculada. No escribas encima.</t>
        </is>
      </c>
      <c r="E19" s="69" t="inlineStr">
        <is>
          <t>Días adicionales con los que ganaría el C</t>
        </is>
      </c>
      <c r="F19" s="12">
        <f>IF(B15&gt;=ROUNDUP(MAX(F13,F14)/(B8*B9*B10),0),"Ya ganas · bastaba con "&amp;ROUNDUP(MAX(F13,F14)/(B8*B9*B10),0),ROUNDUP(MAX(F13,F14)/(B8*B9*B10),0))</f>
        <v/>
      </c>
      <c r="G19" s="12">
        <f>IF(B15&gt;=ROUNDUP(MAX(G13,G14)/(C8*C9*C10),0),"Ya ganas · bastaba con "&amp;ROUNDUP(MAX(G13,G14)/(C8*C9*C10),0),ROUNDUP(MAX(G13,G14)/(C8*C9*C10),0))</f>
        <v/>
      </c>
      <c r="H19" s="8">
        <f>"Lo mismo para el Camino C, con los otros dos movimientos en "&amp;B13&amp;" al mes y "&amp;B14&amp;"."</f>
        <v/>
      </c>
    </row>
    <row r="20" ht="23.25" customHeight="1" s="50"/>
    <row r="21" ht="15" customHeight="1" s="50"/>
    <row r="22" ht="15" customHeight="1" s="50">
      <c r="D22" s="8" t="n"/>
    </row>
    <row r="23" ht="15" customHeight="1" s="50">
      <c r="D23" s="8" t="n"/>
    </row>
    <row r="24" ht="15" customHeight="1" s="50">
      <c r="D24" s="8" t="n"/>
    </row>
    <row r="25" ht="15" customHeight="1" s="50">
      <c r="E25" s="8" t="n"/>
      <c r="F25" s="8" t="n"/>
      <c r="G25" s="8" t="n"/>
      <c r="H25" s="8" t="n"/>
    </row>
    <row r="26">
      <c r="E26" s="8" t="n"/>
      <c r="F26" s="8" t="n"/>
      <c r="G26" s="8" t="n"/>
      <c r="H26" s="8" t="n"/>
    </row>
  </sheetData>
  <mergeCells count="15">
    <mergeCell ref="B13:C13"/>
    <mergeCell ref="B15:C15"/>
    <mergeCell ref="B19:C19"/>
    <mergeCell ref="E12:H12"/>
    <mergeCell ref="A2:H2"/>
    <mergeCell ref="A6:C6"/>
    <mergeCell ref="E6:H6"/>
    <mergeCell ref="A12:C12"/>
    <mergeCell ref="B14:C14"/>
    <mergeCell ref="F4:H4"/>
    <mergeCell ref="A1:H1"/>
    <mergeCell ref="B18:C18"/>
    <mergeCell ref="E11:H11"/>
    <mergeCell ref="B4:C4"/>
    <mergeCell ref="A16:C16"/>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24"/>
  <sheetViews>
    <sheetView showGridLines="0" zoomScaleNormal="100" workbookViewId="0">
      <selection activeCell="B13" sqref="B13"/>
    </sheetView>
  </sheetViews>
  <sheetFormatPr baseColWidth="8" defaultColWidth="14.3984375" defaultRowHeight="14.25"/>
  <cols>
    <col width="29" customWidth="1" style="50" min="1" max="1"/>
    <col width="17" customWidth="1" style="50" min="2" max="2"/>
    <col width="18" customWidth="1" style="50" min="3" max="4"/>
    <col width="15" customWidth="1" style="50" min="5" max="6"/>
    <col width="20" customWidth="1" style="50" min="7" max="7"/>
    <col width="44" customWidth="1" style="50" min="8" max="8"/>
    <col width="8.73046875" customWidth="1" style="50" min="9" max="26"/>
  </cols>
  <sheetData>
    <row r="1" ht="24" customHeight="1" s="50">
      <c r="A1" s="68" t="inlineStr">
        <is>
          <t>FUNDAMENTOS CUANTITATIVOS PARA NEGOCIOS CREATIVOS  ·  SEMANA 1</t>
        </is>
      </c>
    </row>
    <row r="2" ht="16.5" customHeight="1" s="50">
      <c r="A2" s="66" t="inlineStr">
        <is>
          <t>Auditoría de un referente</t>
        </is>
      </c>
    </row>
    <row r="3" ht="14.25" customHeight="1" s="50"/>
    <row r="4" ht="14.25" customHeight="1" s="50">
      <c r="A4" s="64" t="inlineStr">
        <is>
          <t>CÓMO LEER LOS COLORES</t>
        </is>
      </c>
    </row>
    <row r="5" ht="14.25" customHeight="1" s="50">
      <c r="A5" s="15" t="n"/>
      <c r="B5" s="67" t="inlineStr">
        <is>
          <t>VERDE · celda que tú editas. Cámbiala y todo lo demás se recalcula solo.</t>
        </is>
      </c>
    </row>
    <row r="6" ht="14.25" customHeight="1" s="50">
      <c r="A6" s="16" t="n"/>
      <c r="B6" s="67" t="inlineStr">
        <is>
          <t>AZUL · dato reportado por la fuente. No lo cambies: es el terreno contra el que te comparas.</t>
        </is>
      </c>
    </row>
    <row r="7" ht="14.25" customHeight="1" s="50">
      <c r="A7" s="17" t="n"/>
      <c r="B7" s="67" t="inlineStr">
        <is>
          <t>GRIS · celda calculada por una fórmula. No escribas aquí, se sobrescribe la fórmula.</t>
        </is>
      </c>
    </row>
    <row r="8" ht="14.25" customHeight="1" s="50"/>
    <row r="9" ht="14.25" customHeight="1" s="50">
      <c r="A9" s="63" t="inlineStr">
        <is>
          <t>1  ·  PISO, TU SUPUESTO Y TECHO</t>
        </is>
      </c>
    </row>
    <row r="10" ht="37.5" customHeight="1" s="50">
      <c r="A10" s="65" t="inlineStr">
        <is>
          <t>El piso es el extremo bajo de ventas que reportan las fuentes ($100,000 al mes) y el techo el extremo alto ($300,000). Ninguno es una predicción: juntos marcan el terreno donde es razonable que caiga tu número. La ganancia se queda fija en 10% en las tres filas.</t>
        </is>
      </c>
    </row>
    <row r="11" ht="31.5" customHeight="1" s="50">
      <c r="A11" s="18" t="inlineStr">
        <is>
          <t>Escenario</t>
        </is>
      </c>
      <c r="B11" s="18" t="inlineStr">
        <is>
          <t>Ventas mensuales</t>
        </is>
      </c>
      <c r="C11" s="18" t="inlineStr">
        <is>
          <t>Ganancia (% de las ventas)</t>
        </is>
      </c>
      <c r="D11" s="18" t="inlineStr">
        <is>
          <t>Ganancia por cada $100k</t>
        </is>
      </c>
      <c r="E11" s="18" t="inlineStr">
        <is>
          <t>Ingreso diario</t>
        </is>
      </c>
      <c r="F11" s="18" t="inlineStr">
        <is>
          <t>Ganancia diaria</t>
        </is>
      </c>
      <c r="G11" s="18" t="inlineStr">
        <is>
          <t>Diferencia vs tu supuesto</t>
        </is>
      </c>
      <c r="H11" s="18" t="inlineStr">
        <is>
          <t>Cómo se lee esa diferencia</t>
        </is>
      </c>
    </row>
    <row r="12" ht="30" customHeight="1" s="50">
      <c r="A12" s="16" t="inlineStr">
        <is>
          <t>Piso</t>
        </is>
      </c>
      <c r="B12" s="19" t="n">
        <v>100000</v>
      </c>
      <c r="C12" s="20" t="n">
        <v>0.1</v>
      </c>
      <c r="D12" s="21">
        <f>B12*C12</f>
        <v/>
      </c>
      <c r="E12" s="21">
        <f>B12/30</f>
        <v/>
      </c>
      <c r="F12" s="21">
        <f>E12*C12</f>
        <v/>
      </c>
      <c r="G12" s="21">
        <f>F12-$F$13</f>
        <v/>
      </c>
      <c r="H12" s="22">
        <f>IF(G12&lt;0,"Este escenario deja MENOS al día que tu supuesto. Estar por arriba de él es buena señal.",IF(G12&gt;0,"Este escenario deja MÁS al día que tu supuesto: tu supuesto se queda corto frente a él.","Igual que tu supuesto."))</f>
        <v/>
      </c>
    </row>
    <row r="13" ht="30" customHeight="1" s="50">
      <c r="A13" s="23" t="inlineStr">
        <is>
          <t>Tu supuesto</t>
        </is>
      </c>
      <c r="B13" s="24" t="n">
        <v>200000</v>
      </c>
      <c r="C13" s="20" t="n">
        <v>0.1</v>
      </c>
      <c r="D13" s="21">
        <f>B13*C13</f>
        <v/>
      </c>
      <c r="E13" s="21">
        <f>B13/30</f>
        <v/>
      </c>
      <c r="F13" s="25">
        <f>E13*C13</f>
        <v/>
      </c>
      <c r="G13" s="26" t="inlineStr">
        <is>
          <t>—</t>
        </is>
      </c>
      <c r="H13" s="22" t="inlineStr">
        <is>
          <t>Es la fila contra la que se comparan las otras dos.</t>
        </is>
      </c>
    </row>
    <row r="14" ht="30" customHeight="1" s="50">
      <c r="A14" s="16" t="inlineStr">
        <is>
          <t>Techo</t>
        </is>
      </c>
      <c r="B14" s="19" t="n">
        <v>300000</v>
      </c>
      <c r="C14" s="20" t="n">
        <v>0.1</v>
      </c>
      <c r="D14" s="21">
        <f>B14*C14</f>
        <v/>
      </c>
      <c r="E14" s="21">
        <f>B14/30</f>
        <v/>
      </c>
      <c r="F14" s="21">
        <f>E14*C14</f>
        <v/>
      </c>
      <c r="G14" s="21">
        <f>F14-$F$13</f>
        <v/>
      </c>
      <c r="H14" s="22">
        <f>IF(G14&lt;0,"Este escenario deja MENOS al día que tu supuesto. Estar por arriba de él es buena señal.",IF(G14&gt;0,"Este escenario deja MÁS al día que tu supuesto: tu supuesto se queda corto frente a él.","Igual que tu supuesto."))</f>
        <v/>
      </c>
    </row>
    <row r="15" ht="37.5" customHeight="1" s="50">
      <c r="A15" s="65" t="inlineStr">
        <is>
          <t>El 10% es LINEAL: es el mismo porcentaje sin importar cuánto vendas, por eso está igual en las tres filas. Si vendes el doble ganas el doble, ni más ni menos. Fórmulas: ingreso diario = ventas del mes ÷ 30  ·  ganancia diaria = ingreso diario × 10%</t>
        </is>
      </c>
    </row>
    <row r="16" ht="49.5" customHeight="1" s="50">
      <c r="A16" s="65" t="inlineStr">
        <is>
          <t>Sobre el signo de la columna F: la resta siempre es «esta fila menos tu supuesto». En el Piso sale NEGATIVO y eso es correcto, no es una pérdida: quiere decir que el piso deja menos al día que tu supuesto, o sea que estás por arriba del piso. En el Techo sale positivo porque el techo deja más que tú. Fíjate que las dos diferencias miden lo mismo, $333.33, porque tu supuesto quedó justo a la mitad.</t>
        </is>
      </c>
    </row>
    <row r="17" ht="14.25" customHeight="1" s="50"/>
    <row r="18" ht="14.25" customHeight="1" s="50">
      <c r="A18" s="63" t="inlineStr">
        <is>
          <t>2  ·  COMPARACIÓN DE PALANCAS</t>
        </is>
      </c>
    </row>
    <row r="19" ht="30" customHeight="1" s="50">
      <c r="A19" s="65" t="inlineStr">
        <is>
          <t>Dos caminos para subir tu ganancia diaria, los dos partiendo de tu supuesto. El Camino A sube las ventas y deja la ganancia en 10%. El Camino B hace lo contrario: mismas ventas, mejor ganancia.</t>
        </is>
      </c>
    </row>
    <row r="20" ht="31.5" customHeight="1" s="50">
      <c r="A20" s="18" t="inlineStr">
        <is>
          <t>Escenario</t>
        </is>
      </c>
      <c r="B20" s="18" t="inlineStr">
        <is>
          <t>Ventas mensuales</t>
        </is>
      </c>
      <c r="C20" s="18" t="inlineStr">
        <is>
          <t>Ganancia (% de las ventas)</t>
        </is>
      </c>
      <c r="D20" s="18" t="inlineStr">
        <is>
          <t>Ganancia por cada $100k</t>
        </is>
      </c>
      <c r="E20" s="18" t="inlineStr">
        <is>
          <t>Ingreso diario</t>
        </is>
      </c>
      <c r="F20" s="18" t="inlineStr">
        <is>
          <t>Ganancia diaria</t>
        </is>
      </c>
      <c r="G20" s="18" t="inlineStr">
        <is>
          <t>Diferencia vs tu supuesto</t>
        </is>
      </c>
      <c r="H20" s="18" t="inlineStr">
        <is>
          <t>Cómo se lee esa diferencia</t>
        </is>
      </c>
    </row>
    <row r="21" ht="27.75" customHeight="1" s="50">
      <c r="A21" s="17" t="inlineStr">
        <is>
          <t>Punto de partida (tu supuesto)</t>
        </is>
      </c>
      <c r="B21" s="21">
        <f>B13</f>
        <v/>
      </c>
      <c r="C21" s="27">
        <f>C13</f>
        <v/>
      </c>
      <c r="D21" s="21">
        <f>B21*C21</f>
        <v/>
      </c>
      <c r="E21" s="21">
        <f>B21/30</f>
        <v/>
      </c>
      <c r="F21" s="25">
        <f>E21*C21</f>
        <v/>
      </c>
      <c r="G21" s="26" t="inlineStr">
        <is>
          <t>—</t>
        </is>
      </c>
      <c r="H21" s="22" t="inlineStr">
        <is>
          <t>Es la fila contra la que se comparan los dos caminos.</t>
        </is>
      </c>
    </row>
    <row r="22" ht="27.75" customHeight="1" s="50">
      <c r="A22" s="28" t="inlineStr">
        <is>
          <t>Camino A · vender más</t>
        </is>
      </c>
      <c r="B22" s="24" t="n">
        <v>250000</v>
      </c>
      <c r="C22" s="27">
        <f>C13</f>
        <v/>
      </c>
      <c r="D22" s="21">
        <f>B22*C22</f>
        <v/>
      </c>
      <c r="E22" s="21">
        <f>B22/30</f>
        <v/>
      </c>
      <c r="F22" s="21">
        <f>E22*C22</f>
        <v/>
      </c>
      <c r="G22" s="25">
        <f>F22-$F$21</f>
        <v/>
      </c>
      <c r="H22" s="22" t="inlineStr">
        <is>
          <t>Ventas a medio camino entre tu supuesto y el techo reportado. La ganancia no se mueve.</t>
        </is>
      </c>
    </row>
    <row r="23" ht="27.75" customHeight="1" s="50">
      <c r="A23" s="28" t="inlineStr">
        <is>
          <t>Camino B · ganar mejor</t>
        </is>
      </c>
      <c r="B23" s="21">
        <f>B13</f>
        <v/>
      </c>
      <c r="C23" s="20" t="n">
        <v>0.15</v>
      </c>
      <c r="D23" s="21">
        <f>B23*C23</f>
        <v/>
      </c>
      <c r="E23" s="21">
        <f>B23/30</f>
        <v/>
      </c>
      <c r="F23" s="21">
        <f>E23*C23</f>
        <v/>
      </c>
      <c r="G23" s="25">
        <f>F23-$F$21</f>
        <v/>
      </c>
      <c r="H23" s="22" t="inlineStr">
        <is>
          <t>La ganancia sube de 10% a 15%. Las ventas no se mueven.</t>
        </is>
      </c>
    </row>
    <row r="24" ht="30" customHeight="1" s="50">
      <c r="A24" s="65" t="inlineStr">
        <is>
          <t>Con estos números gana el Camino B. La pregunta que sigue no la resuelve la hoja: ¿qué te cuesta menos en tu negocio, vender una cuarta parte más, o ganar 5 puntos más de cada venta que ya haces?</t>
        </is>
      </c>
    </row>
    <row r="25" ht="14.25" customHeight="1" s="50"/>
    <row r="26" ht="14.25" customHeight="1" s="50"/>
    <row r="27" ht="14.25" customHeight="1" s="50"/>
    <row r="28" ht="14.25" customHeight="1" s="50"/>
    <row r="29" ht="14.25" customHeight="1" s="50"/>
    <row r="30" ht="14.25" customHeight="1" s="50"/>
    <row r="31" ht="14.25" customHeight="1" s="50"/>
    <row r="32" ht="14.25" customHeight="1" s="50"/>
    <row r="33" ht="14.25" customHeight="1" s="50"/>
    <row r="34" ht="14.25" customHeight="1" s="50"/>
    <row r="35" ht="14.25" customHeight="1" s="50"/>
    <row r="36" ht="14.25" customHeight="1" s="50"/>
    <row r="37" ht="14.25" customHeight="1" s="50"/>
    <row r="38" ht="14.25" customHeight="1" s="50"/>
    <row r="39" ht="14.25" customHeight="1" s="50"/>
    <row r="40" ht="14.25" customHeight="1" s="50"/>
    <row r="41" ht="14.25" customHeight="1" s="50"/>
    <row r="42" ht="14.25" customHeight="1" s="50"/>
    <row r="43" ht="14.25" customHeight="1" s="50"/>
    <row r="44" ht="14.25" customHeight="1" s="50"/>
    <row r="45" ht="14.25" customHeight="1" s="50"/>
    <row r="46" ht="14.25" customHeight="1" s="50"/>
    <row r="47" ht="14.25" customHeight="1" s="50"/>
    <row r="48" ht="14.25" customHeight="1" s="50"/>
    <row r="49" ht="14.25" customHeight="1" s="50"/>
    <row r="50" ht="14.25" customHeight="1" s="50"/>
    <row r="51" ht="14.25" customHeight="1" s="50"/>
    <row r="52" ht="14.25" customHeight="1" s="50"/>
    <row r="53" ht="14.25" customHeight="1" s="50"/>
    <row r="54" ht="14.25" customHeight="1" s="50"/>
    <row r="55" ht="14.25" customHeight="1" s="50"/>
    <row r="56" ht="14.25" customHeight="1" s="50"/>
    <row r="57" ht="14.25" customHeight="1" s="50"/>
    <row r="58" ht="14.25" customHeight="1" s="50"/>
    <row r="59" ht="14.25" customHeight="1" s="50"/>
    <row r="60" ht="14.25" customHeight="1" s="50"/>
    <row r="61" ht="14.25" customHeight="1" s="50"/>
    <row r="62" ht="14.25" customHeight="1" s="50"/>
    <row r="63" ht="14.25" customHeight="1" s="50"/>
    <row r="64" ht="14.25" customHeight="1" s="50"/>
    <row r="65" ht="14.25" customHeight="1" s="50"/>
    <row r="66" ht="14.25" customHeight="1" s="50"/>
    <row r="67" ht="14.25" customHeight="1" s="50"/>
    <row r="68" ht="14.25" customHeight="1" s="50"/>
    <row r="69" ht="14.25" customHeight="1" s="50"/>
    <row r="70" ht="14.25" customHeight="1" s="50"/>
    <row r="71" ht="14.25" customHeight="1" s="50"/>
    <row r="72" ht="14.25" customHeight="1" s="50"/>
    <row r="73" ht="14.25" customHeight="1" s="50"/>
    <row r="74" ht="14.25" customHeight="1" s="50"/>
    <row r="75" ht="14.25" customHeight="1" s="50"/>
    <row r="76" ht="14.25" customHeight="1" s="50"/>
    <row r="77" ht="14.25" customHeight="1" s="50"/>
    <row r="78" ht="14.25" customHeight="1" s="50"/>
    <row r="79" ht="14.25" customHeight="1" s="50"/>
    <row r="80" ht="14.25" customHeight="1" s="50"/>
    <row r="81" ht="14.25" customHeight="1" s="50"/>
    <row r="82" ht="14.25" customHeight="1" s="50"/>
    <row r="83" ht="14.25" customHeight="1" s="50"/>
    <row r="84" ht="14.25" customHeight="1" s="50"/>
    <row r="85" ht="14.25" customHeight="1" s="50"/>
    <row r="86" ht="14.25" customHeight="1" s="50"/>
    <row r="87" ht="14.25" customHeight="1" s="50"/>
    <row r="88" ht="14.25" customHeight="1" s="50"/>
    <row r="89" ht="14.25" customHeight="1" s="50"/>
    <row r="90" ht="14.25" customHeight="1" s="50"/>
    <row r="91" ht="14.25" customHeight="1" s="50"/>
    <row r="92" ht="14.25" customHeight="1" s="50"/>
    <row r="93" ht="14.25" customHeight="1" s="50"/>
    <row r="94" ht="14.25" customHeight="1" s="50"/>
    <row r="95" ht="14.25" customHeight="1" s="50"/>
    <row r="96" ht="14.25" customHeight="1" s="50"/>
    <row r="97" ht="14.25" customHeight="1" s="50"/>
    <row r="98" ht="14.25" customHeight="1" s="50"/>
    <row r="99" ht="14.25" customHeight="1" s="50"/>
    <row r="100" ht="14.25" customHeight="1" s="50"/>
    <row r="101" ht="14.25" customHeight="1" s="50"/>
    <row r="102" ht="14.25" customHeight="1" s="50"/>
    <row r="103" ht="14.25" customHeight="1" s="50"/>
    <row r="104" ht="14.25" customHeight="1" s="50"/>
    <row r="105" ht="14.25" customHeight="1" s="50"/>
    <row r="106" ht="14.25" customHeight="1" s="50"/>
    <row r="107" ht="14.25" customHeight="1" s="50"/>
    <row r="108" ht="14.25" customHeight="1" s="50"/>
    <row r="109" ht="14.25" customHeight="1" s="50"/>
    <row r="110" ht="14.25" customHeight="1" s="50"/>
    <row r="111" ht="14.25" customHeight="1" s="50"/>
    <row r="112" ht="14.25" customHeight="1" s="50"/>
    <row r="113" ht="14.25" customHeight="1" s="50"/>
    <row r="114" ht="14.25" customHeight="1" s="50"/>
    <row r="115" ht="14.25" customHeight="1" s="50"/>
    <row r="116" ht="14.25" customHeight="1" s="50"/>
    <row r="117" ht="14.25" customHeight="1" s="50"/>
    <row r="118" ht="14.25" customHeight="1" s="50"/>
    <row r="119" ht="14.25" customHeight="1" s="50"/>
    <row r="120" ht="14.25" customHeight="1" s="50"/>
    <row r="121" ht="14.25" customHeight="1" s="50"/>
    <row r="122" ht="14.25" customHeight="1" s="50"/>
    <row r="123" ht="14.25" customHeight="1" s="50"/>
    <row r="124" ht="14.25" customHeight="1" s="50"/>
    <row r="125" ht="14.25" customHeight="1" s="50"/>
    <row r="126" ht="14.25" customHeight="1" s="50"/>
    <row r="127" ht="14.25" customHeight="1" s="50"/>
    <row r="128" ht="14.25" customHeight="1" s="50"/>
    <row r="129" ht="14.25" customHeight="1" s="50"/>
    <row r="130" ht="14.25" customHeight="1" s="50"/>
    <row r="131" ht="14.25" customHeight="1" s="50"/>
    <row r="132" ht="14.25" customHeight="1" s="50"/>
    <row r="133" ht="14.25" customHeight="1" s="50"/>
    <row r="134" ht="14.25" customHeight="1" s="50"/>
    <row r="135" ht="14.25" customHeight="1" s="50"/>
    <row r="136" ht="14.25" customHeight="1" s="50"/>
    <row r="137" ht="14.25" customHeight="1" s="50"/>
    <row r="138" ht="14.25" customHeight="1" s="50"/>
    <row r="139" ht="14.25" customHeight="1" s="50"/>
    <row r="140" ht="14.25" customHeight="1" s="50"/>
    <row r="141" ht="14.25" customHeight="1" s="50"/>
    <row r="142" ht="14.25" customHeight="1" s="50"/>
    <row r="143" ht="14.25" customHeight="1" s="50"/>
    <row r="144" ht="14.25" customHeight="1" s="50"/>
    <row r="145" ht="14.25" customHeight="1" s="50"/>
    <row r="146" ht="14.25" customHeight="1" s="50"/>
    <row r="147" ht="14.25" customHeight="1" s="50"/>
    <row r="148" ht="14.25" customHeight="1" s="50"/>
    <row r="149" ht="14.25" customHeight="1" s="50"/>
    <row r="150" ht="14.25" customHeight="1" s="50"/>
    <row r="151" ht="14.25" customHeight="1" s="50"/>
    <row r="152" ht="14.25" customHeight="1" s="50"/>
    <row r="153" ht="14.25" customHeight="1" s="50"/>
    <row r="154" ht="14.25" customHeight="1" s="50"/>
    <row r="155" ht="14.25" customHeight="1" s="50"/>
    <row r="156" ht="14.25" customHeight="1" s="50"/>
    <row r="157" ht="14.25" customHeight="1" s="50"/>
    <row r="158" ht="14.25" customHeight="1" s="50"/>
    <row r="159" ht="14.25" customHeight="1" s="50"/>
    <row r="160" ht="14.25" customHeight="1" s="50"/>
    <row r="161" ht="14.25" customHeight="1" s="50"/>
    <row r="162" ht="14.25" customHeight="1" s="50"/>
    <row r="163" ht="14.25" customHeight="1" s="50"/>
    <row r="164" ht="14.25" customHeight="1" s="50"/>
    <row r="165" ht="14.25" customHeight="1" s="50"/>
    <row r="166" ht="14.25" customHeight="1" s="50"/>
    <row r="167" ht="14.25" customHeight="1" s="50"/>
    <row r="168" ht="14.25" customHeight="1" s="50"/>
    <row r="169" ht="14.25" customHeight="1" s="50"/>
    <row r="170" ht="14.25" customHeight="1" s="50"/>
    <row r="171" ht="14.25" customHeight="1" s="50"/>
    <row r="172" ht="14.25" customHeight="1" s="50"/>
    <row r="173" ht="14.25" customHeight="1" s="50"/>
    <row r="174" ht="14.25" customHeight="1" s="50"/>
    <row r="175" ht="14.25" customHeight="1" s="50"/>
    <row r="176" ht="14.25" customHeight="1" s="50"/>
    <row r="177" ht="14.25" customHeight="1" s="50"/>
    <row r="178" ht="14.25" customHeight="1" s="50"/>
    <row r="179" ht="14.25" customHeight="1" s="50"/>
    <row r="180" ht="14.25" customHeight="1" s="50"/>
    <row r="181" ht="14.25" customHeight="1" s="50"/>
    <row r="182" ht="14.25" customHeight="1" s="50"/>
    <row r="183" ht="14.25" customHeight="1" s="50"/>
    <row r="184" ht="14.25" customHeight="1" s="50"/>
    <row r="185" ht="14.25" customHeight="1" s="50"/>
    <row r="186" ht="14.25" customHeight="1" s="50"/>
    <row r="187" ht="14.25" customHeight="1" s="50"/>
    <row r="188" ht="14.25" customHeight="1" s="50"/>
    <row r="189" ht="14.25" customHeight="1" s="50"/>
    <row r="190" ht="14.25" customHeight="1" s="50"/>
    <row r="191" ht="14.25" customHeight="1" s="50"/>
    <row r="192" ht="14.25" customHeight="1" s="50"/>
    <row r="193" ht="14.25" customHeight="1" s="50"/>
    <row r="194" ht="14.25" customHeight="1" s="50"/>
    <row r="195" ht="14.25" customHeight="1" s="50"/>
    <row r="196" ht="14.25" customHeight="1" s="50"/>
    <row r="197" ht="14.25" customHeight="1" s="50"/>
    <row r="198" ht="14.25" customHeight="1" s="50"/>
    <row r="199" ht="14.25" customHeight="1" s="50"/>
    <row r="200" ht="14.25" customHeight="1" s="50"/>
    <row r="201" ht="14.25" customHeight="1" s="50"/>
    <row r="202" ht="14.25" customHeight="1" s="50"/>
    <row r="203" ht="14.25" customHeight="1" s="50"/>
    <row r="204" ht="14.25" customHeight="1" s="50"/>
    <row r="205" ht="14.25" customHeight="1" s="50"/>
    <row r="206" ht="14.25" customHeight="1" s="50"/>
    <row r="207" ht="14.25" customHeight="1" s="50"/>
    <row r="208" ht="14.25" customHeight="1" s="50"/>
    <row r="209" ht="14.25" customHeight="1" s="50"/>
    <row r="210" ht="14.25" customHeight="1" s="50"/>
    <row r="211" ht="14.25" customHeight="1" s="50"/>
    <row r="212" ht="14.25" customHeight="1" s="50"/>
    <row r="213" ht="14.25" customHeight="1" s="50"/>
    <row r="214" ht="14.25" customHeight="1" s="50"/>
    <row r="215" ht="14.25" customHeight="1" s="50"/>
    <row r="216" ht="14.25" customHeight="1" s="50"/>
    <row r="217" ht="14.25" customHeight="1" s="50"/>
    <row r="218" ht="14.25" customHeight="1" s="50"/>
    <row r="219" ht="14.25" customHeight="1" s="50"/>
    <row r="220" ht="14.25" customHeight="1" s="50"/>
    <row r="221" ht="14.25" customHeight="1" s="50"/>
    <row r="222" ht="14.25" customHeight="1" s="50"/>
    <row r="223" ht="14.25" customHeight="1" s="50"/>
    <row r="224" ht="14.25" customHeight="1" s="50"/>
    <row r="225" ht="14.25" customHeight="1" s="50"/>
    <row r="226" ht="14.25" customHeight="1" s="50"/>
    <row r="227" ht="14.25" customHeight="1" s="50"/>
    <row r="228" ht="14.25" customHeight="1" s="50"/>
    <row r="229" ht="14.25" customHeight="1" s="50"/>
    <row r="230" ht="14.25" customHeight="1" s="50"/>
    <row r="231" ht="14.25" customHeight="1" s="50"/>
    <row r="232" ht="14.25" customHeight="1" s="50"/>
    <row r="233" ht="14.25" customHeight="1" s="50"/>
    <row r="234" ht="14.25" customHeight="1" s="50"/>
    <row r="235" ht="14.25" customHeight="1" s="50"/>
    <row r="236" ht="14.25" customHeight="1" s="50"/>
    <row r="237" ht="14.25" customHeight="1" s="50"/>
    <row r="238" ht="14.25" customHeight="1" s="50"/>
    <row r="239" ht="14.25" customHeight="1" s="50"/>
    <row r="240" ht="14.25" customHeight="1" s="50"/>
    <row r="241" ht="14.25" customHeight="1" s="50"/>
    <row r="242" ht="14.25" customHeight="1" s="50"/>
    <row r="243" ht="14.25" customHeight="1" s="50"/>
    <row r="244" ht="14.25" customHeight="1" s="50"/>
    <row r="245" ht="14.25" customHeight="1" s="50"/>
    <row r="246" ht="14.25" customHeight="1" s="50"/>
    <row r="247" ht="14.25" customHeight="1" s="50"/>
    <row r="248" ht="14.25" customHeight="1" s="50"/>
    <row r="249" ht="14.25" customHeight="1" s="50"/>
    <row r="250" ht="14.25" customHeight="1" s="50"/>
    <row r="251" ht="14.25" customHeight="1" s="50"/>
    <row r="252" ht="14.25" customHeight="1" s="50"/>
    <row r="253" ht="14.25" customHeight="1" s="50"/>
    <row r="254" ht="14.25" customHeight="1" s="50"/>
    <row r="255" ht="14.25" customHeight="1" s="50"/>
    <row r="256" ht="14.25" customHeight="1" s="50"/>
    <row r="257" ht="14.25" customHeight="1" s="50"/>
    <row r="258" ht="14.25" customHeight="1" s="50"/>
    <row r="259" ht="14.25" customHeight="1" s="50"/>
    <row r="260" ht="14.25" customHeight="1" s="50"/>
    <row r="261" ht="14.25" customHeight="1" s="50"/>
    <row r="262" ht="14.25" customHeight="1" s="50"/>
    <row r="263" ht="14.25" customHeight="1" s="50"/>
    <row r="264" ht="14.25" customHeight="1" s="50"/>
    <row r="265" ht="14.25" customHeight="1" s="50"/>
    <row r="266" ht="14.25" customHeight="1" s="50"/>
    <row r="267" ht="14.25" customHeight="1" s="50"/>
    <row r="268" ht="14.25" customHeight="1" s="50"/>
    <row r="269" ht="14.25" customHeight="1" s="50"/>
    <row r="270" ht="14.25" customHeight="1" s="50"/>
    <row r="271" ht="14.25" customHeight="1" s="50"/>
    <row r="272" ht="14.25" customHeight="1" s="50"/>
    <row r="273" ht="14.25" customHeight="1" s="50"/>
    <row r="274" ht="14.25" customHeight="1" s="50"/>
    <row r="275" ht="14.25" customHeight="1" s="50"/>
    <row r="276" ht="14.25" customHeight="1" s="50"/>
    <row r="277" ht="14.25" customHeight="1" s="50"/>
    <row r="278" ht="14.25" customHeight="1" s="50"/>
    <row r="279" ht="14.25" customHeight="1" s="50"/>
    <row r="280" ht="14.25" customHeight="1" s="50"/>
    <row r="281" ht="14.25" customHeight="1" s="50"/>
    <row r="282" ht="14.25" customHeight="1" s="50"/>
    <row r="283" ht="14.25" customHeight="1" s="50"/>
    <row r="284" ht="14.25" customHeight="1" s="50"/>
    <row r="285" ht="14.25" customHeight="1" s="50"/>
    <row r="286" ht="14.25" customHeight="1" s="50"/>
    <row r="287" ht="14.25" customHeight="1" s="50"/>
    <row r="288" ht="14.25" customHeight="1" s="50"/>
    <row r="289" ht="14.25" customHeight="1" s="50"/>
    <row r="290" ht="14.25" customHeight="1" s="50"/>
    <row r="291" ht="14.25" customHeight="1" s="50"/>
    <row r="292" ht="14.25" customHeight="1" s="50"/>
    <row r="293" ht="14.25" customHeight="1" s="50"/>
    <row r="294" ht="14.25" customHeight="1" s="50"/>
    <row r="295" ht="14.25" customHeight="1" s="50"/>
    <row r="296" ht="14.25" customHeight="1" s="50"/>
    <row r="297" ht="14.25" customHeight="1" s="50"/>
    <row r="298" ht="14.25" customHeight="1" s="50"/>
    <row r="299" ht="14.25" customHeight="1" s="50"/>
    <row r="300" ht="14.25" customHeight="1" s="50"/>
    <row r="301" ht="14.25" customHeight="1" s="50"/>
    <row r="302" ht="14.25" customHeight="1" s="50"/>
    <row r="303" ht="14.25" customHeight="1" s="50"/>
    <row r="304" ht="14.25" customHeight="1" s="50"/>
    <row r="305" ht="14.25" customHeight="1" s="50"/>
    <row r="306" ht="14.25" customHeight="1" s="50"/>
    <row r="307" ht="14.25" customHeight="1" s="50"/>
    <row r="308" ht="14.25" customHeight="1" s="50"/>
    <row r="309" ht="14.25" customHeight="1" s="50"/>
    <row r="310" ht="14.25" customHeight="1" s="50"/>
    <row r="311" ht="14.25" customHeight="1" s="50"/>
    <row r="312" ht="14.25" customHeight="1" s="50"/>
    <row r="313" ht="14.25" customHeight="1" s="50"/>
    <row r="314" ht="14.25" customHeight="1" s="50"/>
    <row r="315" ht="14.25" customHeight="1" s="50"/>
    <row r="316" ht="14.25" customHeight="1" s="50"/>
    <row r="317" ht="14.25" customHeight="1" s="50"/>
    <row r="318" ht="14.25" customHeight="1" s="50"/>
    <row r="319" ht="14.25" customHeight="1" s="50"/>
    <row r="320" ht="14.25" customHeight="1" s="50"/>
    <row r="321" ht="14.25" customHeight="1" s="50"/>
    <row r="322" ht="14.25" customHeight="1" s="50"/>
    <row r="323" ht="14.25" customHeight="1" s="50"/>
    <row r="324" ht="14.25" customHeight="1" s="50"/>
    <row r="325" ht="14.25" customHeight="1" s="50"/>
    <row r="326" ht="14.25" customHeight="1" s="50"/>
    <row r="327" ht="14.25" customHeight="1" s="50"/>
    <row r="328" ht="14.25" customHeight="1" s="50"/>
    <row r="329" ht="14.25" customHeight="1" s="50"/>
    <row r="330" ht="14.25" customHeight="1" s="50"/>
    <row r="331" ht="14.25" customHeight="1" s="50"/>
    <row r="332" ht="14.25" customHeight="1" s="50"/>
    <row r="333" ht="14.25" customHeight="1" s="50"/>
    <row r="334" ht="14.25" customHeight="1" s="50"/>
    <row r="335" ht="14.25" customHeight="1" s="50"/>
    <row r="336" ht="14.25" customHeight="1" s="50"/>
    <row r="337" ht="14.25" customHeight="1" s="50"/>
    <row r="338" ht="14.25" customHeight="1" s="50"/>
    <row r="339" ht="14.25" customHeight="1" s="50"/>
    <row r="340" ht="14.25" customHeight="1" s="50"/>
    <row r="341" ht="14.25" customHeight="1" s="50"/>
    <row r="342" ht="14.25" customHeight="1" s="50"/>
    <row r="343" ht="14.25" customHeight="1" s="50"/>
    <row r="344" ht="14.25" customHeight="1" s="50"/>
    <row r="345" ht="14.25" customHeight="1" s="50"/>
    <row r="346" ht="14.25" customHeight="1" s="50"/>
    <row r="347" ht="14.25" customHeight="1" s="50"/>
    <row r="348" ht="14.25" customHeight="1" s="50"/>
    <row r="349" ht="14.25" customHeight="1" s="50"/>
    <row r="350" ht="14.25" customHeight="1" s="50"/>
    <row r="351" ht="14.25" customHeight="1" s="50"/>
    <row r="352" ht="14.25" customHeight="1" s="50"/>
    <row r="353" ht="14.25" customHeight="1" s="50"/>
    <row r="354" ht="14.25" customHeight="1" s="50"/>
    <row r="355" ht="14.25" customHeight="1" s="50"/>
    <row r="356" ht="14.25" customHeight="1" s="50"/>
    <row r="357" ht="14.25" customHeight="1" s="50"/>
    <row r="358" ht="14.25" customHeight="1" s="50"/>
    <row r="359" ht="14.25" customHeight="1" s="50"/>
    <row r="360" ht="14.25" customHeight="1" s="50"/>
    <row r="361" ht="14.25" customHeight="1" s="50"/>
    <row r="362" ht="14.25" customHeight="1" s="50"/>
    <row r="363" ht="14.25" customHeight="1" s="50"/>
    <row r="364" ht="14.25" customHeight="1" s="50"/>
    <row r="365" ht="14.25" customHeight="1" s="50"/>
    <row r="366" ht="14.25" customHeight="1" s="50"/>
    <row r="367" ht="14.25" customHeight="1" s="50"/>
    <row r="368" ht="14.25" customHeight="1" s="50"/>
    <row r="369" ht="14.25" customHeight="1" s="50"/>
    <row r="370" ht="14.25" customHeight="1" s="50"/>
    <row r="371" ht="14.25" customHeight="1" s="50"/>
    <row r="372" ht="14.25" customHeight="1" s="50"/>
    <row r="373" ht="14.25" customHeight="1" s="50"/>
    <row r="374" ht="14.25" customHeight="1" s="50"/>
    <row r="375" ht="14.25" customHeight="1" s="50"/>
    <row r="376" ht="14.25" customHeight="1" s="50"/>
    <row r="377" ht="14.25" customHeight="1" s="50"/>
    <row r="378" ht="14.25" customHeight="1" s="50"/>
    <row r="379" ht="14.25" customHeight="1" s="50"/>
    <row r="380" ht="14.25" customHeight="1" s="50"/>
    <row r="381" ht="14.25" customHeight="1" s="50"/>
    <row r="382" ht="14.25" customHeight="1" s="50"/>
    <row r="383" ht="14.25" customHeight="1" s="50"/>
    <row r="384" ht="14.25" customHeight="1" s="50"/>
    <row r="385" ht="14.25" customHeight="1" s="50"/>
    <row r="386" ht="14.25" customHeight="1" s="50"/>
    <row r="387" ht="14.25" customHeight="1" s="50"/>
    <row r="388" ht="14.25" customHeight="1" s="50"/>
    <row r="389" ht="14.25" customHeight="1" s="50"/>
    <row r="390" ht="14.25" customHeight="1" s="50"/>
    <row r="391" ht="14.25" customHeight="1" s="50"/>
    <row r="392" ht="14.25" customHeight="1" s="50"/>
    <row r="393" ht="14.25" customHeight="1" s="50"/>
    <row r="394" ht="14.25" customHeight="1" s="50"/>
    <row r="395" ht="14.25" customHeight="1" s="50"/>
    <row r="396" ht="14.25" customHeight="1" s="50"/>
    <row r="397" ht="14.25" customHeight="1" s="50"/>
    <row r="398" ht="14.25" customHeight="1" s="50"/>
    <row r="399" ht="14.25" customHeight="1" s="50"/>
    <row r="400" ht="14.25" customHeight="1" s="50"/>
    <row r="401" ht="14.25" customHeight="1" s="50"/>
    <row r="402" ht="14.25" customHeight="1" s="50"/>
    <row r="403" ht="14.25" customHeight="1" s="50"/>
    <row r="404" ht="14.25" customHeight="1" s="50"/>
    <row r="405" ht="14.25" customHeight="1" s="50"/>
    <row r="406" ht="14.25" customHeight="1" s="50"/>
    <row r="407" ht="14.25" customHeight="1" s="50"/>
    <row r="408" ht="14.25" customHeight="1" s="50"/>
    <row r="409" ht="14.25" customHeight="1" s="50"/>
    <row r="410" ht="14.25" customHeight="1" s="50"/>
    <row r="411" ht="14.25" customHeight="1" s="50"/>
    <row r="412" ht="14.25" customHeight="1" s="50"/>
    <row r="413" ht="14.25" customHeight="1" s="50"/>
    <row r="414" ht="14.25" customHeight="1" s="50"/>
    <row r="415" ht="14.25" customHeight="1" s="50"/>
    <row r="416" ht="14.25" customHeight="1" s="50"/>
    <row r="417" ht="14.25" customHeight="1" s="50"/>
    <row r="418" ht="14.25" customHeight="1" s="50"/>
    <row r="419" ht="14.25" customHeight="1" s="50"/>
    <row r="420" ht="14.25" customHeight="1" s="50"/>
    <row r="421" ht="14.25" customHeight="1" s="50"/>
    <row r="422" ht="14.25" customHeight="1" s="50"/>
    <row r="423" ht="14.25" customHeight="1" s="50"/>
    <row r="424" ht="14.25" customHeight="1" s="50"/>
    <row r="425" ht="14.25" customHeight="1" s="50"/>
    <row r="426" ht="14.25" customHeight="1" s="50"/>
    <row r="427" ht="14.25" customHeight="1" s="50"/>
    <row r="428" ht="14.25" customHeight="1" s="50"/>
    <row r="429" ht="14.25" customHeight="1" s="50"/>
    <row r="430" ht="14.25" customHeight="1" s="50"/>
    <row r="431" ht="14.25" customHeight="1" s="50"/>
    <row r="432" ht="14.25" customHeight="1" s="50"/>
    <row r="433" ht="14.25" customHeight="1" s="50"/>
    <row r="434" ht="14.25" customHeight="1" s="50"/>
    <row r="435" ht="14.25" customHeight="1" s="50"/>
    <row r="436" ht="14.25" customHeight="1" s="50"/>
    <row r="437" ht="14.25" customHeight="1" s="50"/>
    <row r="438" ht="14.25" customHeight="1" s="50"/>
    <row r="439" ht="14.25" customHeight="1" s="50"/>
    <row r="440" ht="14.25" customHeight="1" s="50"/>
    <row r="441" ht="14.25" customHeight="1" s="50"/>
    <row r="442" ht="14.25" customHeight="1" s="50"/>
    <row r="443" ht="14.25" customHeight="1" s="50"/>
    <row r="444" ht="14.25" customHeight="1" s="50"/>
    <row r="445" ht="14.25" customHeight="1" s="50"/>
    <row r="446" ht="14.25" customHeight="1" s="50"/>
    <row r="447" ht="14.25" customHeight="1" s="50"/>
    <row r="448" ht="14.25" customHeight="1" s="50"/>
    <row r="449" ht="14.25" customHeight="1" s="50"/>
    <row r="450" ht="14.25" customHeight="1" s="50"/>
    <row r="451" ht="14.25" customHeight="1" s="50"/>
    <row r="452" ht="14.25" customHeight="1" s="50"/>
    <row r="453" ht="14.25" customHeight="1" s="50"/>
    <row r="454" ht="14.25" customHeight="1" s="50"/>
    <row r="455" ht="14.25" customHeight="1" s="50"/>
    <row r="456" ht="14.25" customHeight="1" s="50"/>
    <row r="457" ht="14.25" customHeight="1" s="50"/>
    <row r="458" ht="14.25" customHeight="1" s="50"/>
    <row r="459" ht="14.25" customHeight="1" s="50"/>
    <row r="460" ht="14.25" customHeight="1" s="50"/>
    <row r="461" ht="14.25" customHeight="1" s="50"/>
    <row r="462" ht="14.25" customHeight="1" s="50"/>
    <row r="463" ht="14.25" customHeight="1" s="50"/>
    <row r="464" ht="14.25" customHeight="1" s="50"/>
    <row r="465" ht="14.25" customHeight="1" s="50"/>
    <row r="466" ht="14.25" customHeight="1" s="50"/>
    <row r="467" ht="14.25" customHeight="1" s="50"/>
    <row r="468" ht="14.25" customHeight="1" s="50"/>
    <row r="469" ht="14.25" customHeight="1" s="50"/>
    <row r="470" ht="14.25" customHeight="1" s="50"/>
    <row r="471" ht="14.25" customHeight="1" s="50"/>
    <row r="472" ht="14.25" customHeight="1" s="50"/>
    <row r="473" ht="14.25" customHeight="1" s="50"/>
    <row r="474" ht="14.25" customHeight="1" s="50"/>
    <row r="475" ht="14.25" customHeight="1" s="50"/>
    <row r="476" ht="14.25" customHeight="1" s="50"/>
    <row r="477" ht="14.25" customHeight="1" s="50"/>
    <row r="478" ht="14.25" customHeight="1" s="50"/>
    <row r="479" ht="14.25" customHeight="1" s="50"/>
    <row r="480" ht="14.25" customHeight="1" s="50"/>
    <row r="481" ht="14.25" customHeight="1" s="50"/>
    <row r="482" ht="14.25" customHeight="1" s="50"/>
    <row r="483" ht="14.25" customHeight="1" s="50"/>
    <row r="484" ht="14.25" customHeight="1" s="50"/>
    <row r="485" ht="14.25" customHeight="1" s="50"/>
    <row r="486" ht="14.25" customHeight="1" s="50"/>
    <row r="487" ht="14.25" customHeight="1" s="50"/>
    <row r="488" ht="14.25" customHeight="1" s="50"/>
    <row r="489" ht="14.25" customHeight="1" s="50"/>
    <row r="490" ht="14.25" customHeight="1" s="50"/>
    <row r="491" ht="14.25" customHeight="1" s="50"/>
    <row r="492" ht="14.25" customHeight="1" s="50"/>
    <row r="493" ht="14.25" customHeight="1" s="50"/>
    <row r="494" ht="14.25" customHeight="1" s="50"/>
    <row r="495" ht="14.25" customHeight="1" s="50"/>
    <row r="496" ht="14.25" customHeight="1" s="50"/>
    <row r="497" ht="14.25" customHeight="1" s="50"/>
    <row r="498" ht="14.25" customHeight="1" s="50"/>
    <row r="499" ht="14.25" customHeight="1" s="50"/>
    <row r="500" ht="14.25" customHeight="1" s="50"/>
    <row r="501" ht="14.25" customHeight="1" s="50"/>
    <row r="502" ht="14.25" customHeight="1" s="50"/>
    <row r="503" ht="14.25" customHeight="1" s="50"/>
    <row r="504" ht="14.25" customHeight="1" s="50"/>
    <row r="505" ht="14.25" customHeight="1" s="50"/>
    <row r="506" ht="14.25" customHeight="1" s="50"/>
    <row r="507" ht="14.25" customHeight="1" s="50"/>
    <row r="508" ht="14.25" customHeight="1" s="50"/>
    <row r="509" ht="14.25" customHeight="1" s="50"/>
    <row r="510" ht="14.25" customHeight="1" s="50"/>
    <row r="511" ht="14.25" customHeight="1" s="50"/>
    <row r="512" ht="14.25" customHeight="1" s="50"/>
    <row r="513" ht="14.25" customHeight="1" s="50"/>
    <row r="514" ht="14.25" customHeight="1" s="50"/>
    <row r="515" ht="14.25" customHeight="1" s="50"/>
    <row r="516" ht="14.25" customHeight="1" s="50"/>
    <row r="517" ht="14.25" customHeight="1" s="50"/>
    <row r="518" ht="14.25" customHeight="1" s="50"/>
    <row r="519" ht="14.25" customHeight="1" s="50"/>
    <row r="520" ht="14.25" customHeight="1" s="50"/>
    <row r="521" ht="14.25" customHeight="1" s="50"/>
    <row r="522" ht="14.25" customHeight="1" s="50"/>
    <row r="523" ht="14.25" customHeight="1" s="50"/>
    <row r="524" ht="14.25" customHeight="1" s="50"/>
    <row r="525" ht="14.25" customHeight="1" s="50"/>
    <row r="526" ht="14.25" customHeight="1" s="50"/>
    <row r="527" ht="14.25" customHeight="1" s="50"/>
    <row r="528" ht="14.25" customHeight="1" s="50"/>
    <row r="529" ht="14.25" customHeight="1" s="50"/>
    <row r="530" ht="14.25" customHeight="1" s="50"/>
    <row r="531" ht="14.25" customHeight="1" s="50"/>
    <row r="532" ht="14.25" customHeight="1" s="50"/>
    <row r="533" ht="14.25" customHeight="1" s="50"/>
    <row r="534" ht="14.25" customHeight="1" s="50"/>
    <row r="535" ht="14.25" customHeight="1" s="50"/>
    <row r="536" ht="14.25" customHeight="1" s="50"/>
    <row r="537" ht="14.25" customHeight="1" s="50"/>
    <row r="538" ht="14.25" customHeight="1" s="50"/>
    <row r="539" ht="14.25" customHeight="1" s="50"/>
    <row r="540" ht="14.25" customHeight="1" s="50"/>
    <row r="541" ht="14.25" customHeight="1" s="50"/>
    <row r="542" ht="14.25" customHeight="1" s="50"/>
    <row r="543" ht="14.25" customHeight="1" s="50"/>
    <row r="544" ht="14.25" customHeight="1" s="50"/>
    <row r="545" ht="14.25" customHeight="1" s="50"/>
    <row r="546" ht="14.25" customHeight="1" s="50"/>
    <row r="547" ht="14.25" customHeight="1" s="50"/>
    <row r="548" ht="14.25" customHeight="1" s="50"/>
    <row r="549" ht="14.25" customHeight="1" s="50"/>
    <row r="550" ht="14.25" customHeight="1" s="50"/>
    <row r="551" ht="14.25" customHeight="1" s="50"/>
    <row r="552" ht="14.25" customHeight="1" s="50"/>
    <row r="553" ht="14.25" customHeight="1" s="50"/>
    <row r="554" ht="14.25" customHeight="1" s="50"/>
    <row r="555" ht="14.25" customHeight="1" s="50"/>
    <row r="556" ht="14.25" customHeight="1" s="50"/>
    <row r="557" ht="14.25" customHeight="1" s="50"/>
    <row r="558" ht="14.25" customHeight="1" s="50"/>
    <row r="559" ht="14.25" customHeight="1" s="50"/>
    <row r="560" ht="14.25" customHeight="1" s="50"/>
    <row r="561" ht="14.25" customHeight="1" s="50"/>
    <row r="562" ht="14.25" customHeight="1" s="50"/>
    <row r="563" ht="14.25" customHeight="1" s="50"/>
    <row r="564" ht="14.25" customHeight="1" s="50"/>
    <row r="565" ht="14.25" customHeight="1" s="50"/>
    <row r="566" ht="14.25" customHeight="1" s="50"/>
    <row r="567" ht="14.25" customHeight="1" s="50"/>
    <row r="568" ht="14.25" customHeight="1" s="50"/>
    <row r="569" ht="14.25" customHeight="1" s="50"/>
    <row r="570" ht="14.25" customHeight="1" s="50"/>
    <row r="571" ht="14.25" customHeight="1" s="50"/>
    <row r="572" ht="14.25" customHeight="1" s="50"/>
    <row r="573" ht="14.25" customHeight="1" s="50"/>
    <row r="574" ht="14.25" customHeight="1" s="50"/>
    <row r="575" ht="14.25" customHeight="1" s="50"/>
    <row r="576" ht="14.25" customHeight="1" s="50"/>
    <row r="577" ht="14.25" customHeight="1" s="50"/>
    <row r="578" ht="14.25" customHeight="1" s="50"/>
    <row r="579" ht="14.25" customHeight="1" s="50"/>
    <row r="580" ht="14.25" customHeight="1" s="50"/>
    <row r="581" ht="14.25" customHeight="1" s="50"/>
    <row r="582" ht="14.25" customHeight="1" s="50"/>
    <row r="583" ht="14.25" customHeight="1" s="50"/>
    <row r="584" ht="14.25" customHeight="1" s="50"/>
    <row r="585" ht="14.25" customHeight="1" s="50"/>
    <row r="586" ht="14.25" customHeight="1" s="50"/>
    <row r="587" ht="14.25" customHeight="1" s="50"/>
    <row r="588" ht="14.25" customHeight="1" s="50"/>
    <row r="589" ht="14.25" customHeight="1" s="50"/>
    <row r="590" ht="14.25" customHeight="1" s="50"/>
    <row r="591" ht="14.25" customHeight="1" s="50"/>
    <row r="592" ht="14.25" customHeight="1" s="50"/>
    <row r="593" ht="14.25" customHeight="1" s="50"/>
    <row r="594" ht="14.25" customHeight="1" s="50"/>
    <row r="595" ht="14.25" customHeight="1" s="50"/>
    <row r="596" ht="14.25" customHeight="1" s="50"/>
    <row r="597" ht="14.25" customHeight="1" s="50"/>
    <row r="598" ht="14.25" customHeight="1" s="50"/>
    <row r="599" ht="14.25" customHeight="1" s="50"/>
    <row r="600" ht="14.25" customHeight="1" s="50"/>
    <row r="601" ht="14.25" customHeight="1" s="50"/>
    <row r="602" ht="14.25" customHeight="1" s="50"/>
    <row r="603" ht="14.25" customHeight="1" s="50"/>
    <row r="604" ht="14.25" customHeight="1" s="50"/>
    <row r="605" ht="14.25" customHeight="1" s="50"/>
    <row r="606" ht="14.25" customHeight="1" s="50"/>
    <row r="607" ht="14.25" customHeight="1" s="50"/>
    <row r="608" ht="14.25" customHeight="1" s="50"/>
    <row r="609" ht="14.25" customHeight="1" s="50"/>
    <row r="610" ht="14.25" customHeight="1" s="50"/>
    <row r="611" ht="14.25" customHeight="1" s="50"/>
    <row r="612" ht="14.25" customHeight="1" s="50"/>
    <row r="613" ht="14.25" customHeight="1" s="50"/>
    <row r="614" ht="14.25" customHeight="1" s="50"/>
    <row r="615" ht="14.25" customHeight="1" s="50"/>
    <row r="616" ht="14.25" customHeight="1" s="50"/>
    <row r="617" ht="14.25" customHeight="1" s="50"/>
    <row r="618" ht="14.25" customHeight="1" s="50"/>
    <row r="619" ht="14.25" customHeight="1" s="50"/>
    <row r="620" ht="14.25" customHeight="1" s="50"/>
    <row r="621" ht="14.25" customHeight="1" s="50"/>
    <row r="622" ht="14.25" customHeight="1" s="50"/>
    <row r="623" ht="14.25" customHeight="1" s="50"/>
    <row r="624" ht="14.25" customHeight="1" s="50"/>
    <row r="625" ht="14.25" customHeight="1" s="50"/>
    <row r="626" ht="14.25" customHeight="1" s="50"/>
    <row r="627" ht="14.25" customHeight="1" s="50"/>
    <row r="628" ht="14.25" customHeight="1" s="50"/>
    <row r="629" ht="14.25" customHeight="1" s="50"/>
    <row r="630" ht="14.25" customHeight="1" s="50"/>
    <row r="631" ht="14.25" customHeight="1" s="50"/>
    <row r="632" ht="14.25" customHeight="1" s="50"/>
    <row r="633" ht="14.25" customHeight="1" s="50"/>
    <row r="634" ht="14.25" customHeight="1" s="50"/>
    <row r="635" ht="14.25" customHeight="1" s="50"/>
    <row r="636" ht="14.25" customHeight="1" s="50"/>
    <row r="637" ht="14.25" customHeight="1" s="50"/>
    <row r="638" ht="14.25" customHeight="1" s="50"/>
    <row r="639" ht="14.25" customHeight="1" s="50"/>
    <row r="640" ht="14.25" customHeight="1" s="50"/>
    <row r="641" ht="14.25" customHeight="1" s="50"/>
    <row r="642" ht="14.25" customHeight="1" s="50"/>
    <row r="643" ht="14.25" customHeight="1" s="50"/>
    <row r="644" ht="14.25" customHeight="1" s="50"/>
    <row r="645" ht="14.25" customHeight="1" s="50"/>
    <row r="646" ht="14.25" customHeight="1" s="50"/>
    <row r="647" ht="14.25" customHeight="1" s="50"/>
    <row r="648" ht="14.25" customHeight="1" s="50"/>
    <row r="649" ht="14.25" customHeight="1" s="50"/>
    <row r="650" ht="14.25" customHeight="1" s="50"/>
    <row r="651" ht="14.25" customHeight="1" s="50"/>
    <row r="652" ht="14.25" customHeight="1" s="50"/>
    <row r="653" ht="14.25" customHeight="1" s="50"/>
    <row r="654" ht="14.25" customHeight="1" s="50"/>
    <row r="655" ht="14.25" customHeight="1" s="50"/>
    <row r="656" ht="14.25" customHeight="1" s="50"/>
    <row r="657" ht="14.25" customHeight="1" s="50"/>
    <row r="658" ht="14.25" customHeight="1" s="50"/>
    <row r="659" ht="14.25" customHeight="1" s="50"/>
    <row r="660" ht="14.25" customHeight="1" s="50"/>
    <row r="661" ht="14.25" customHeight="1" s="50"/>
    <row r="662" ht="14.25" customHeight="1" s="50"/>
    <row r="663" ht="14.25" customHeight="1" s="50"/>
    <row r="664" ht="14.25" customHeight="1" s="50"/>
    <row r="665" ht="14.25" customHeight="1" s="50"/>
    <row r="666" ht="14.25" customHeight="1" s="50"/>
    <row r="667" ht="14.25" customHeight="1" s="50"/>
    <row r="668" ht="14.25" customHeight="1" s="50"/>
    <row r="669" ht="14.25" customHeight="1" s="50"/>
    <row r="670" ht="14.25" customHeight="1" s="50"/>
    <row r="671" ht="14.25" customHeight="1" s="50"/>
    <row r="672" ht="14.25" customHeight="1" s="50"/>
    <row r="673" ht="14.25" customHeight="1" s="50"/>
    <row r="674" ht="14.25" customHeight="1" s="50"/>
    <row r="675" ht="14.25" customHeight="1" s="50"/>
    <row r="676" ht="14.25" customHeight="1" s="50"/>
    <row r="677" ht="14.25" customHeight="1" s="50"/>
    <row r="678" ht="14.25" customHeight="1" s="50"/>
    <row r="679" ht="14.25" customHeight="1" s="50"/>
    <row r="680" ht="14.25" customHeight="1" s="50"/>
    <row r="681" ht="14.25" customHeight="1" s="50"/>
    <row r="682" ht="14.25" customHeight="1" s="50"/>
    <row r="683" ht="14.25" customHeight="1" s="50"/>
    <row r="684" ht="14.25" customHeight="1" s="50"/>
    <row r="685" ht="14.25" customHeight="1" s="50"/>
    <row r="686" ht="14.25" customHeight="1" s="50"/>
    <row r="687" ht="14.25" customHeight="1" s="50"/>
    <row r="688" ht="14.25" customHeight="1" s="50"/>
    <row r="689" ht="14.25" customHeight="1" s="50"/>
    <row r="690" ht="14.25" customHeight="1" s="50"/>
    <row r="691" ht="14.25" customHeight="1" s="50"/>
    <row r="692" ht="14.25" customHeight="1" s="50"/>
    <row r="693" ht="14.25" customHeight="1" s="50"/>
    <row r="694" ht="14.25" customHeight="1" s="50"/>
    <row r="695" ht="14.25" customHeight="1" s="50"/>
    <row r="696" ht="14.25" customHeight="1" s="50"/>
    <row r="697" ht="14.25" customHeight="1" s="50"/>
    <row r="698" ht="14.25" customHeight="1" s="50"/>
    <row r="699" ht="14.25" customHeight="1" s="50"/>
    <row r="700" ht="14.25" customHeight="1" s="50"/>
    <row r="701" ht="14.25" customHeight="1" s="50"/>
    <row r="702" ht="14.25" customHeight="1" s="50"/>
    <row r="703" ht="14.25" customHeight="1" s="50"/>
    <row r="704" ht="14.25" customHeight="1" s="50"/>
    <row r="705" ht="14.25" customHeight="1" s="50"/>
    <row r="706" ht="14.25" customHeight="1" s="50"/>
    <row r="707" ht="14.25" customHeight="1" s="50"/>
    <row r="708" ht="14.25" customHeight="1" s="50"/>
    <row r="709" ht="14.25" customHeight="1" s="50"/>
    <row r="710" ht="14.25" customHeight="1" s="50"/>
    <row r="711" ht="14.25" customHeight="1" s="50"/>
    <row r="712" ht="14.25" customHeight="1" s="50"/>
    <row r="713" ht="14.25" customHeight="1" s="50"/>
    <row r="714" ht="14.25" customHeight="1" s="50"/>
    <row r="715" ht="14.25" customHeight="1" s="50"/>
    <row r="716" ht="14.25" customHeight="1" s="50"/>
    <row r="717" ht="14.25" customHeight="1" s="50"/>
    <row r="718" ht="14.25" customHeight="1" s="50"/>
    <row r="719" ht="14.25" customHeight="1" s="50"/>
    <row r="720" ht="14.25" customHeight="1" s="50"/>
    <row r="721" ht="14.25" customHeight="1" s="50"/>
    <row r="722" ht="14.25" customHeight="1" s="50"/>
    <row r="723" ht="14.25" customHeight="1" s="50"/>
    <row r="724" ht="14.25" customHeight="1" s="50"/>
    <row r="725" ht="14.25" customHeight="1" s="50"/>
    <row r="726" ht="14.25" customHeight="1" s="50"/>
    <row r="727" ht="14.25" customHeight="1" s="50"/>
    <row r="728" ht="14.25" customHeight="1" s="50"/>
    <row r="729" ht="14.25" customHeight="1" s="50"/>
    <row r="730" ht="14.25" customHeight="1" s="50"/>
    <row r="731" ht="14.25" customHeight="1" s="50"/>
    <row r="732" ht="14.25" customHeight="1" s="50"/>
    <row r="733" ht="14.25" customHeight="1" s="50"/>
    <row r="734" ht="14.25" customHeight="1" s="50"/>
    <row r="735" ht="14.25" customHeight="1" s="50"/>
    <row r="736" ht="14.25" customHeight="1" s="50"/>
    <row r="737" ht="14.25" customHeight="1" s="50"/>
    <row r="738" ht="14.25" customHeight="1" s="50"/>
    <row r="739" ht="14.25" customHeight="1" s="50"/>
    <row r="740" ht="14.25" customHeight="1" s="50"/>
    <row r="741" ht="14.25" customHeight="1" s="50"/>
    <row r="742" ht="14.25" customHeight="1" s="50"/>
    <row r="743" ht="14.25" customHeight="1" s="50"/>
    <row r="744" ht="14.25" customHeight="1" s="50"/>
    <row r="745" ht="14.25" customHeight="1" s="50"/>
    <row r="746" ht="14.25" customHeight="1" s="50"/>
    <row r="747" ht="14.25" customHeight="1" s="50"/>
    <row r="748" ht="14.25" customHeight="1" s="50"/>
    <row r="749" ht="14.25" customHeight="1" s="50"/>
    <row r="750" ht="14.25" customHeight="1" s="50"/>
    <row r="751" ht="14.25" customHeight="1" s="50"/>
    <row r="752" ht="14.25" customHeight="1" s="50"/>
    <row r="753" ht="14.25" customHeight="1" s="50"/>
    <row r="754" ht="14.25" customHeight="1" s="50"/>
    <row r="755" ht="14.25" customHeight="1" s="50"/>
    <row r="756" ht="14.25" customHeight="1" s="50"/>
    <row r="757" ht="14.25" customHeight="1" s="50"/>
    <row r="758" ht="14.25" customHeight="1" s="50"/>
    <row r="759" ht="14.25" customHeight="1" s="50"/>
    <row r="760" ht="14.25" customHeight="1" s="50"/>
    <row r="761" ht="14.25" customHeight="1" s="50"/>
    <row r="762" ht="14.25" customHeight="1" s="50"/>
    <row r="763" ht="14.25" customHeight="1" s="50"/>
    <row r="764" ht="14.25" customHeight="1" s="50"/>
    <row r="765" ht="14.25" customHeight="1" s="50"/>
    <row r="766" ht="14.25" customHeight="1" s="50"/>
    <row r="767" ht="14.25" customHeight="1" s="50"/>
    <row r="768" ht="14.25" customHeight="1" s="50"/>
    <row r="769" ht="14.25" customHeight="1" s="50"/>
    <row r="770" ht="14.25" customHeight="1" s="50"/>
    <row r="771" ht="14.25" customHeight="1" s="50"/>
    <row r="772" ht="14.25" customHeight="1" s="50"/>
    <row r="773" ht="14.25" customHeight="1" s="50"/>
    <row r="774" ht="14.25" customHeight="1" s="50"/>
    <row r="775" ht="14.25" customHeight="1" s="50"/>
    <row r="776" ht="14.25" customHeight="1" s="50"/>
    <row r="777" ht="14.25" customHeight="1" s="50"/>
    <row r="778" ht="14.25" customHeight="1" s="50"/>
    <row r="779" ht="14.25" customHeight="1" s="50"/>
    <row r="780" ht="14.25" customHeight="1" s="50"/>
    <row r="781" ht="14.25" customHeight="1" s="50"/>
    <row r="782" ht="14.25" customHeight="1" s="50"/>
    <row r="783" ht="14.25" customHeight="1" s="50"/>
    <row r="784" ht="14.25" customHeight="1" s="50"/>
    <row r="785" ht="14.25" customHeight="1" s="50"/>
    <row r="786" ht="14.25" customHeight="1" s="50"/>
    <row r="787" ht="14.25" customHeight="1" s="50"/>
    <row r="788" ht="14.25" customHeight="1" s="50"/>
    <row r="789" ht="14.25" customHeight="1" s="50"/>
    <row r="790" ht="14.25" customHeight="1" s="50"/>
    <row r="791" ht="14.25" customHeight="1" s="50"/>
    <row r="792" ht="14.25" customHeight="1" s="50"/>
    <row r="793" ht="14.25" customHeight="1" s="50"/>
    <row r="794" ht="14.25" customHeight="1" s="50"/>
    <row r="795" ht="14.25" customHeight="1" s="50"/>
    <row r="796" ht="14.25" customHeight="1" s="50"/>
    <row r="797" ht="14.25" customHeight="1" s="50"/>
    <row r="798" ht="14.25" customHeight="1" s="50"/>
    <row r="799" ht="14.25" customHeight="1" s="50"/>
    <row r="800" ht="14.25" customHeight="1" s="50"/>
    <row r="801" ht="14.25" customHeight="1" s="50"/>
    <row r="802" ht="14.25" customHeight="1" s="50"/>
    <row r="803" ht="14.25" customHeight="1" s="50"/>
    <row r="804" ht="14.25" customHeight="1" s="50"/>
    <row r="805" ht="14.25" customHeight="1" s="50"/>
    <row r="806" ht="14.25" customHeight="1" s="50"/>
    <row r="807" ht="14.25" customHeight="1" s="50"/>
    <row r="808" ht="14.25" customHeight="1" s="50"/>
    <row r="809" ht="14.25" customHeight="1" s="50"/>
    <row r="810" ht="14.25" customHeight="1" s="50"/>
    <row r="811" ht="14.25" customHeight="1" s="50"/>
    <row r="812" ht="14.25" customHeight="1" s="50"/>
    <row r="813" ht="14.25" customHeight="1" s="50"/>
    <row r="814" ht="14.25" customHeight="1" s="50"/>
    <row r="815" ht="14.25" customHeight="1" s="50"/>
    <row r="816" ht="14.25" customHeight="1" s="50"/>
    <row r="817" ht="14.25" customHeight="1" s="50"/>
    <row r="818" ht="14.25" customHeight="1" s="50"/>
    <row r="819" ht="14.25" customHeight="1" s="50"/>
    <row r="820" ht="14.25" customHeight="1" s="50"/>
    <row r="821" ht="14.25" customHeight="1" s="50"/>
    <row r="822" ht="14.25" customHeight="1" s="50"/>
    <row r="823" ht="14.25" customHeight="1" s="50"/>
    <row r="824" ht="14.25" customHeight="1" s="50"/>
    <row r="825" ht="14.25" customHeight="1" s="50"/>
    <row r="826" ht="14.25" customHeight="1" s="50"/>
    <row r="827" ht="14.25" customHeight="1" s="50"/>
    <row r="828" ht="14.25" customHeight="1" s="50"/>
    <row r="829" ht="14.25" customHeight="1" s="50"/>
    <row r="830" ht="14.25" customHeight="1" s="50"/>
    <row r="831" ht="14.25" customHeight="1" s="50"/>
    <row r="832" ht="14.25" customHeight="1" s="50"/>
    <row r="833" ht="14.25" customHeight="1" s="50"/>
    <row r="834" ht="14.25" customHeight="1" s="50"/>
    <row r="835" ht="14.25" customHeight="1" s="50"/>
    <row r="836" ht="14.25" customHeight="1" s="50"/>
    <row r="837" ht="14.25" customHeight="1" s="50"/>
    <row r="838" ht="14.25" customHeight="1" s="50"/>
    <row r="839" ht="14.25" customHeight="1" s="50"/>
    <row r="840" ht="14.25" customHeight="1" s="50"/>
    <row r="841" ht="14.25" customHeight="1" s="50"/>
    <row r="842" ht="14.25" customHeight="1" s="50"/>
    <row r="843" ht="14.25" customHeight="1" s="50"/>
    <row r="844" ht="14.25" customHeight="1" s="50"/>
    <row r="845" ht="14.25" customHeight="1" s="50"/>
    <row r="846" ht="14.25" customHeight="1" s="50"/>
    <row r="847" ht="14.25" customHeight="1" s="50"/>
    <row r="848" ht="14.25" customHeight="1" s="50"/>
    <row r="849" ht="14.25" customHeight="1" s="50"/>
    <row r="850" ht="14.25" customHeight="1" s="50"/>
    <row r="851" ht="14.25" customHeight="1" s="50"/>
    <row r="852" ht="14.25" customHeight="1" s="50"/>
    <row r="853" ht="14.25" customHeight="1" s="50"/>
    <row r="854" ht="14.25" customHeight="1" s="50"/>
    <row r="855" ht="14.25" customHeight="1" s="50"/>
    <row r="856" ht="14.25" customHeight="1" s="50"/>
    <row r="857" ht="14.25" customHeight="1" s="50"/>
    <row r="858" ht="14.25" customHeight="1" s="50"/>
    <row r="859" ht="14.25" customHeight="1" s="50"/>
    <row r="860" ht="14.25" customHeight="1" s="50"/>
    <row r="861" ht="14.25" customHeight="1" s="50"/>
    <row r="862" ht="14.25" customHeight="1" s="50"/>
    <row r="863" ht="14.25" customHeight="1" s="50"/>
    <row r="864" ht="14.25" customHeight="1" s="50"/>
    <row r="865" ht="14.25" customHeight="1" s="50"/>
    <row r="866" ht="14.25" customHeight="1" s="50"/>
    <row r="867" ht="14.25" customHeight="1" s="50"/>
    <row r="868" ht="14.25" customHeight="1" s="50"/>
    <row r="869" ht="14.25" customHeight="1" s="50"/>
    <row r="870" ht="14.25" customHeight="1" s="50"/>
    <row r="871" ht="14.25" customHeight="1" s="50"/>
    <row r="872" ht="14.25" customHeight="1" s="50"/>
    <row r="873" ht="14.25" customHeight="1" s="50"/>
    <row r="874" ht="14.25" customHeight="1" s="50"/>
    <row r="875" ht="14.25" customHeight="1" s="50"/>
    <row r="876" ht="14.25" customHeight="1" s="50"/>
    <row r="877" ht="14.25" customHeight="1" s="50"/>
    <row r="878" ht="14.25" customHeight="1" s="50"/>
    <row r="879" ht="14.25" customHeight="1" s="50"/>
    <row r="880" ht="14.25" customHeight="1" s="50"/>
    <row r="881" ht="14.25" customHeight="1" s="50"/>
    <row r="882" ht="14.25" customHeight="1" s="50"/>
    <row r="883" ht="14.25" customHeight="1" s="50"/>
    <row r="884" ht="14.25" customHeight="1" s="50"/>
    <row r="885" ht="14.25" customHeight="1" s="50"/>
    <row r="886" ht="14.25" customHeight="1" s="50"/>
    <row r="887" ht="14.25" customHeight="1" s="50"/>
    <row r="888" ht="14.25" customHeight="1" s="50"/>
    <row r="889" ht="14.25" customHeight="1" s="50"/>
    <row r="890" ht="14.25" customHeight="1" s="50"/>
    <row r="891" ht="14.25" customHeight="1" s="50"/>
    <row r="892" ht="14.25" customHeight="1" s="50"/>
    <row r="893" ht="14.25" customHeight="1" s="50"/>
    <row r="894" ht="14.25" customHeight="1" s="50"/>
    <row r="895" ht="14.25" customHeight="1" s="50"/>
    <row r="896" ht="14.25" customHeight="1" s="50"/>
    <row r="897" ht="14.25" customHeight="1" s="50"/>
    <row r="898" ht="14.25" customHeight="1" s="50"/>
    <row r="899" ht="14.25" customHeight="1" s="50"/>
    <row r="900" ht="14.25" customHeight="1" s="50"/>
    <row r="901" ht="14.25" customHeight="1" s="50"/>
    <row r="902" ht="14.25" customHeight="1" s="50"/>
    <row r="903" ht="14.25" customHeight="1" s="50"/>
    <row r="904" ht="14.25" customHeight="1" s="50"/>
    <row r="905" ht="14.25" customHeight="1" s="50"/>
    <row r="906" ht="14.25" customHeight="1" s="50"/>
    <row r="907" ht="14.25" customHeight="1" s="50"/>
    <row r="908" ht="14.25" customHeight="1" s="50"/>
    <row r="909" ht="14.25" customHeight="1" s="50"/>
    <row r="910" ht="14.25" customHeight="1" s="50"/>
    <row r="911" ht="14.25" customHeight="1" s="50"/>
    <row r="912" ht="14.25" customHeight="1" s="50"/>
    <row r="913" ht="14.25" customHeight="1" s="50"/>
    <row r="914" ht="14.25" customHeight="1" s="50"/>
    <row r="915" ht="14.25" customHeight="1" s="50"/>
    <row r="916" ht="14.25" customHeight="1" s="50"/>
    <row r="917" ht="14.25" customHeight="1" s="50"/>
    <row r="918" ht="14.25" customHeight="1" s="50"/>
    <row r="919" ht="14.25" customHeight="1" s="50"/>
    <row r="920" ht="14.25" customHeight="1" s="50"/>
    <row r="921" ht="14.25" customHeight="1" s="50"/>
    <row r="922" ht="14.25" customHeight="1" s="50"/>
    <row r="923" ht="14.25" customHeight="1" s="50"/>
    <row r="924" ht="14.25" customHeight="1" s="50"/>
    <row r="925" ht="14.25" customHeight="1" s="50"/>
    <row r="926" ht="14.25" customHeight="1" s="50"/>
    <row r="927" ht="14.25" customHeight="1" s="50"/>
    <row r="928" ht="14.25" customHeight="1" s="50"/>
    <row r="929" ht="14.25" customHeight="1" s="50"/>
    <row r="930" ht="14.25" customHeight="1" s="50"/>
    <row r="931" ht="14.25" customHeight="1" s="50"/>
    <row r="932" ht="14.25" customHeight="1" s="50"/>
    <row r="933" ht="14.25" customHeight="1" s="50"/>
    <row r="934" ht="14.25" customHeight="1" s="50"/>
    <row r="935" ht="14.25" customHeight="1" s="50"/>
    <row r="936" ht="14.25" customHeight="1" s="50"/>
    <row r="937" ht="14.25" customHeight="1" s="50"/>
    <row r="938" ht="14.25" customHeight="1" s="50"/>
    <row r="939" ht="14.25" customHeight="1" s="50"/>
    <row r="940" ht="14.25" customHeight="1" s="50"/>
    <row r="941" ht="14.25" customHeight="1" s="50"/>
    <row r="942" ht="14.25" customHeight="1" s="50"/>
    <row r="943" ht="14.25" customHeight="1" s="50"/>
    <row r="944" ht="14.25" customHeight="1" s="50"/>
    <row r="945" ht="14.25" customHeight="1" s="50"/>
    <row r="946" ht="14.25" customHeight="1" s="50"/>
    <row r="947" ht="14.25" customHeight="1" s="50"/>
    <row r="948" ht="14.25" customHeight="1" s="50"/>
    <row r="949" ht="14.25" customHeight="1" s="50"/>
    <row r="950" ht="14.25" customHeight="1" s="50"/>
    <row r="951" ht="14.25" customHeight="1" s="50"/>
    <row r="952" ht="14.25" customHeight="1" s="50"/>
    <row r="953" ht="14.25" customHeight="1" s="50"/>
    <row r="954" ht="14.25" customHeight="1" s="50"/>
    <row r="955" ht="14.25" customHeight="1" s="50"/>
    <row r="956" ht="14.25" customHeight="1" s="50"/>
    <row r="957" ht="14.25" customHeight="1" s="50"/>
    <row r="958" ht="14.25" customHeight="1" s="50"/>
    <row r="959" ht="14.25" customHeight="1" s="50"/>
    <row r="960" ht="14.25" customHeight="1" s="50"/>
    <row r="961" ht="14.25" customHeight="1" s="50"/>
    <row r="962" ht="14.25" customHeight="1" s="50"/>
    <row r="963" ht="14.25" customHeight="1" s="50"/>
    <row r="964" ht="14.25" customHeight="1" s="50"/>
    <row r="965" ht="14.25" customHeight="1" s="50"/>
    <row r="966" ht="14.25" customHeight="1" s="50"/>
    <row r="967" ht="14.25" customHeight="1" s="50"/>
    <row r="968" ht="14.25" customHeight="1" s="50"/>
    <row r="969" ht="14.25" customHeight="1" s="50"/>
    <row r="970" ht="14.25" customHeight="1" s="50"/>
    <row r="971" ht="14.25" customHeight="1" s="50"/>
    <row r="972" ht="14.25" customHeight="1" s="50"/>
    <row r="973" ht="14.25" customHeight="1" s="50"/>
    <row r="974" ht="14.25" customHeight="1" s="50"/>
    <row r="975" ht="14.25" customHeight="1" s="50"/>
    <row r="976" ht="14.25" customHeight="1" s="50"/>
    <row r="977" ht="14.25" customHeight="1" s="50"/>
    <row r="978" ht="14.25" customHeight="1" s="50"/>
    <row r="979" ht="14.25" customHeight="1" s="50"/>
    <row r="980" ht="14.25" customHeight="1" s="50"/>
    <row r="981" ht="14.25" customHeight="1" s="50"/>
    <row r="982" ht="14.25" customHeight="1" s="50"/>
    <row r="983" ht="14.25" customHeight="1" s="50"/>
    <row r="984" ht="14.25" customHeight="1" s="50"/>
    <row r="985" ht="14.25" customHeight="1" s="50"/>
    <row r="986" ht="14.25" customHeight="1" s="50"/>
    <row r="987" ht="14.25" customHeight="1" s="50"/>
    <row r="988" ht="14.25" customHeight="1" s="50"/>
    <row r="989" ht="14.25" customHeight="1" s="50"/>
    <row r="990" ht="14.25" customHeight="1" s="50"/>
    <row r="991" ht="14.25" customHeight="1" s="50"/>
    <row r="992" ht="14.25" customHeight="1" s="50"/>
    <row r="993" ht="14.25" customHeight="1" s="50"/>
    <row r="994" ht="14.25" customHeight="1" s="50"/>
    <row r="995" ht="14.25" customHeight="1" s="50"/>
    <row r="996" ht="14.25" customHeight="1" s="50"/>
    <row r="997" ht="14.25" customHeight="1" s="50"/>
    <row r="998" ht="14.25" customHeight="1" s="50"/>
    <row r="999" ht="14.25" customHeight="1" s="50"/>
    <row r="1000" ht="14.25" customHeight="1" s="50"/>
  </sheetData>
  <mergeCells count="13">
    <mergeCell ref="A18:H18"/>
    <mergeCell ref="A4:H4"/>
    <mergeCell ref="A9:H9"/>
    <mergeCell ref="A15:H15"/>
    <mergeCell ref="A24:H24"/>
    <mergeCell ref="A2:H2"/>
    <mergeCell ref="A16:H16"/>
    <mergeCell ref="A10:H10"/>
    <mergeCell ref="B6:H6"/>
    <mergeCell ref="A19:H19"/>
    <mergeCell ref="B7:H7"/>
    <mergeCell ref="A1:H1"/>
    <mergeCell ref="B5:H5"/>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42"/>
  <sheetViews>
    <sheetView tabSelected="1" topLeftCell="A14" zoomScaleNormal="100" workbookViewId="0">
      <selection activeCell="F41" sqref="F41"/>
    </sheetView>
  </sheetViews>
  <sheetFormatPr baseColWidth="8" defaultColWidth="8.6640625" defaultRowHeight="14.25"/>
  <cols>
    <col width="40" customWidth="1" style="50" min="1" max="1"/>
    <col width="18" customWidth="1" style="50" min="2" max="2"/>
    <col width="22" customWidth="1" style="50" min="3" max="3"/>
    <col width="62" customWidth="1" style="50" min="4" max="4"/>
  </cols>
  <sheetData>
    <row r="1" ht="24" customHeight="1" s="50">
      <c r="A1" s="49" t="inlineStr">
        <is>
          <t>S02-Lab  ·  DE LOS NÚMEROS A LA ESTRATEGIA</t>
        </is>
      </c>
    </row>
    <row r="2" ht="36.75" customHeight="1" s="50">
      <c r="A2" s="51" t="inlineStr">
        <is>
          <t>El ingreso de un mes no es un número suelto: es una cadena de proporciones. Cada eslabón se puede mover por separado, y de eso se trata la sesión.</t>
        </is>
      </c>
    </row>
    <row r="4" ht="24" customHeight="1" s="50">
      <c r="A4" s="49" t="inlineStr">
        <is>
          <t>1  ·  LOS SUPUESTOS DE TU NEGOCIO</t>
        </is>
      </c>
    </row>
    <row r="5" ht="25.5" customHeight="1" s="50">
      <c r="A5" s="51" t="inlineStr">
        <is>
          <t>Los cuatro supuestos de tu negocio, tomados del Panel. En azul porque no se mueven aquí: son el terreno contra el que te comparas en este ejercicio.</t>
        </is>
      </c>
    </row>
    <row r="6" ht="27.75" customHeight="1" s="50">
      <c r="A6" s="61" t="inlineStr">
        <is>
          <t>Supuesto</t>
        </is>
      </c>
      <c r="B6" s="61" t="inlineStr">
        <is>
          <t>Valor</t>
        </is>
      </c>
      <c r="C6" s="61" t="inlineStr">
        <is>
          <t>Unidad</t>
        </is>
      </c>
      <c r="D6" s="61" t="inlineStr">
        <is>
          <t>Qué tipo de proporción es</t>
        </is>
      </c>
    </row>
    <row r="7" ht="24" customHeight="1" s="50">
      <c r="A7" s="69" t="inlineStr">
        <is>
          <t>Clientes por día</t>
        </is>
      </c>
      <c r="B7" s="29">
        <f>Panel!C8</f>
        <v/>
      </c>
      <c r="C7" s="8" t="inlineStr">
        <is>
          <t>clientes por día</t>
        </is>
      </c>
      <c r="D7" s="8" t="inlineStr">
        <is>
          <t>Tasa: el segundo término mide tiempo.</t>
        </is>
      </c>
    </row>
    <row r="8" ht="24" customHeight="1" s="50">
      <c r="A8" s="69" t="inlineStr">
        <is>
          <t>Unidades por cada cliente</t>
        </is>
      </c>
      <c r="B8" s="30">
        <f>Panel!C9</f>
        <v/>
      </c>
      <c r="C8" s="8" t="inlineStr">
        <is>
          <t>unidades por cliente</t>
        </is>
      </c>
      <c r="D8" s="8" t="inlineStr">
        <is>
          <t>Razón: cuánto se lleva en promedio quien ya entró.</t>
        </is>
      </c>
    </row>
    <row r="9" ht="24" customHeight="1" s="50">
      <c r="A9" s="69" t="inlineStr">
        <is>
          <t>Precio de la unidad</t>
        </is>
      </c>
      <c r="B9" s="31">
        <f>Panel!C10</f>
        <v/>
      </c>
      <c r="C9" s="8" t="inlineStr">
        <is>
          <t>pesos por unidad</t>
        </is>
      </c>
      <c r="D9" s="8" t="inlineStr">
        <is>
          <t>Razón: pesos por cada unidad.</t>
        </is>
      </c>
    </row>
    <row r="10" ht="24" customHeight="1" s="50">
      <c r="A10" s="69" t="inlineStr">
        <is>
          <t>Días abiertos al mes</t>
        </is>
      </c>
      <c r="B10" s="29">
        <f>Panel!C11</f>
        <v/>
      </c>
      <c r="C10" s="8" t="inlineStr">
        <is>
          <t>días por mes</t>
        </is>
      </c>
      <c r="D10" s="8" t="inlineStr">
        <is>
          <t>Tasa: cuántos días del mes vende de verdad.</t>
        </is>
      </c>
    </row>
    <row r="11" ht="21.75" customHeight="1" s="50">
      <c r="A11" s="53">
        <f>"Estado de los cuatro supuestos: "&amp;IF(AND(B7=18,B8=5.6,B9=55,B10=26),"estás en los números de tu negocio, tal como están en el Panel.","estás explorando. Los de tu negocio en el Panel son 18 clientes por día, 5.6 unidades por cliente, $55 la unidad y 26 días abiertos.")</f>
        <v/>
      </c>
    </row>
    <row r="12" ht="24" customHeight="1" s="50">
      <c r="A12" s="49" t="inlineStr">
        <is>
          <t>2  ·  LO QUE MOVEMOS</t>
        </is>
      </c>
    </row>
    <row r="13" ht="36.75" customHeight="1" s="50">
      <c r="A13" s="51" t="inlineStr">
        <is>
          <t>Los tres movimientos que podemos dar, en celdas verdes y juntas a propósito. Cada camino del bloque 4 mueve uno de ellos y deja quietos los otros dos. Cambia cualquiera y toda la hoja se recalcula.</t>
        </is>
      </c>
    </row>
    <row r="14" ht="27.75" customHeight="1" s="50">
      <c r="A14" s="61" t="inlineStr">
        <is>
          <t>Movimiento</t>
        </is>
      </c>
      <c r="B14" s="61" t="inlineStr">
        <is>
          <t>Valor</t>
        </is>
      </c>
      <c r="C14" s="61" t="inlineStr">
        <is>
          <t>Unidad</t>
        </is>
      </c>
      <c r="D14" s="61" t="inlineStr">
        <is>
          <t>Cómo se lee en el negocio</t>
        </is>
      </c>
    </row>
    <row r="15" ht="42" customHeight="1" s="50">
      <c r="A15" s="69" t="inlineStr">
        <is>
          <t>Clientes nuevos esperados al mes</t>
        </is>
      </c>
      <c r="B15" s="32" t="n">
        <v>26</v>
      </c>
      <c r="C15" s="8" t="inlineStr">
        <is>
          <t>clientes por mes</t>
        </is>
      </c>
      <c r="D15" s="8">
        <f>"Piénsalo por mes, no por día: no hay medio cliente, así que va en enteros. Ahora está en "&amp;B15&amp;"."</f>
        <v/>
      </c>
    </row>
    <row r="16" ht="42" customHeight="1" s="50">
      <c r="A16" t="inlineStr">
        <is>
          <t>→ repartidos entre los días abiertos</t>
        </is>
      </c>
      <c r="B16" s="33">
        <f>B15/B10</f>
        <v/>
      </c>
      <c r="C16" t="inlineStr">
        <is>
          <t>clientes por día (promedio)</t>
        </is>
      </c>
      <c r="D16" s="8">
        <f>"Si repartes "&amp;B15&amp;" clientes nuevos entre los "&amp;B10&amp;" días que abres, son "&amp;ROUND(B16,2)&amp;" por día en promedio. No hace falta que lleguen parejo: la hoja solo necesita el total del mes."</f>
        <v/>
      </c>
    </row>
    <row r="17" ht="42" customHeight="1" s="50">
      <c r="A17" s="69" t="inlineStr">
        <is>
          <t>Unidades adicionales por cliente</t>
        </is>
      </c>
      <c r="B17" s="34" t="n">
        <v>0.2</v>
      </c>
      <c r="C17" s="8" t="inlineStr">
        <is>
          <t>unidades por cliente</t>
        </is>
      </c>
      <c r="D17" s="8">
        <f>"Nadie pide "&amp;B17&amp;" unidades. Es un promedio: es como si "&amp;ROUND(B17*10,1)&amp;" de cada 10 clientes se llevaran una unidad más. Puede llevar decimales."</f>
        <v/>
      </c>
    </row>
    <row r="18" ht="23.25" customHeight="1" s="50">
      <c r="A18" s="69" t="inlineStr">
        <is>
          <t>Días adicionales al mes</t>
        </is>
      </c>
      <c r="B18" s="32" t="n">
        <v>1</v>
      </c>
      <c r="C18" s="8" t="inlineStr">
        <is>
          <t>días por mes</t>
        </is>
      </c>
      <c r="D18" s="8">
        <f>"Abrir "&amp;B18&amp;IF(B18=1," día que antes se cerraba"," días que antes se cerraban")&amp;", por ejemplo un domingo. Va en enteros y el mes se acaba: no puede pasar de 31 menos los que ya abres."</f>
        <v/>
      </c>
    </row>
    <row r="19" ht="24" customHeight="1" s="50"/>
    <row r="20" ht="25.5" customHeight="1" s="50">
      <c r="A20" s="49" t="inlineStr">
        <is>
          <t>3  ·  EL MES ACTUAL</t>
        </is>
      </c>
    </row>
    <row r="21" ht="27.75" customHeight="1" s="50">
      <c r="A21" s="52" t="inlineStr">
        <is>
          <t>La cadena completa tal como está hoy, sin mover nada. Cada renglón usa el de arriba.</t>
        </is>
      </c>
    </row>
    <row r="22" ht="24" customHeight="1" s="50">
      <c r="A22" s="61" t="inlineStr">
        <is>
          <t>Resultado</t>
        </is>
      </c>
      <c r="B22" s="61" t="inlineStr">
        <is>
          <t>Valor</t>
        </is>
      </c>
      <c r="C22" s="61" t="n"/>
      <c r="D22" s="61" t="inlineStr">
        <is>
          <t>Cómo se calcula</t>
        </is>
      </c>
    </row>
    <row r="23" ht="24" customHeight="1" s="50">
      <c r="A23" s="69" t="inlineStr">
        <is>
          <t>Unidades por día</t>
        </is>
      </c>
      <c r="B23" s="35">
        <f>B7*B8</f>
        <v/>
      </c>
      <c r="C23" s="8" t="n"/>
      <c r="D23" s="8">
        <f>"clientes por día ("&amp;B7&amp;") × unidades por cada cliente ("&amp;B8&amp;")"</f>
        <v/>
      </c>
    </row>
    <row r="24" ht="24" customHeight="1" s="50">
      <c r="A24" s="69" t="inlineStr">
        <is>
          <t>Ingreso por día</t>
        </is>
      </c>
      <c r="B24" s="36">
        <f>B23*B9</f>
        <v/>
      </c>
      <c r="C24" s="8" t="n"/>
      <c r="D24" s="8">
        <f>"unidades por día ("&amp;ROUND(B23,1)&amp;") × precio de la unidad ("&amp;TEXT(B9,"$#,##0")&amp;")"</f>
        <v/>
      </c>
    </row>
    <row r="25">
      <c r="A25" s="11" t="inlineStr">
        <is>
          <t>Ingreso por mes</t>
        </is>
      </c>
      <c r="B25" s="37">
        <f>B24*B10</f>
        <v/>
      </c>
      <c r="C25" s="8" t="n"/>
      <c r="D25" s="8">
        <f>"ingreso por día ("&amp;TEXT(B24,"$#,##0")&amp;") × días abiertos al mes ("&amp;B10&amp;")"</f>
        <v/>
      </c>
    </row>
    <row r="26" ht="24" customHeight="1" s="50"/>
    <row r="27" ht="48" customHeight="1" s="50">
      <c r="A27" s="49" t="inlineStr">
        <is>
          <t>4  ·  CUÁNTO SUMA CADA CAMINO</t>
        </is>
      </c>
    </row>
    <row r="28" ht="27.75" customHeight="1" s="50">
      <c r="A28" s="51" t="inlineStr">
        <is>
          <t>Las tres fórmulas tienen la misma forma: todos los números del negocio, menos el que estás moviendo, multiplicados por el movimiento que le das. El número que falta no se olvidó: lo reemplaza el movimiento.</t>
        </is>
      </c>
    </row>
    <row r="29" ht="48" customHeight="1" s="50">
      <c r="A29" s="61" t="inlineStr">
        <is>
          <t>Camino</t>
        </is>
      </c>
      <c r="B29" s="61" t="inlineStr">
        <is>
          <t>Cuánto suma al mes</t>
        </is>
      </c>
      <c r="C29" s="61" t="inlineStr">
        <is>
          <t>Cómo se calcula</t>
        </is>
      </c>
      <c r="D29" s="61" t="inlineStr">
        <is>
          <t>Por qué</t>
        </is>
      </c>
    </row>
    <row r="30" ht="48" customHeight="1" s="50">
      <c r="A30" s="69" t="inlineStr">
        <is>
          <t>Camino A · más clientes</t>
        </is>
      </c>
      <c r="B30" s="36">
        <f>B8*B9*B10*B16</f>
        <v/>
      </c>
      <c r="C30" s="38">
        <f>"unidades por cliente ("&amp;B8&amp;") × precio ("&amp;TEXT(B9,"$#,##0")&amp;") × días abiertos ("&amp;B10&amp;") × clientes adicionales por día ("&amp;ROUND(B16,2)&amp;")"</f>
        <v/>
      </c>
      <c r="D30" s="8" t="inlineStr">
        <is>
          <t>Trae todos los números del negocio menos «clientes por día», porque ese es justo el que estás moviendo: lo reemplaza el movimiento. El cliente extra se lleva lo que se lleva cualquiera.</t>
        </is>
      </c>
    </row>
    <row r="31" ht="48" customHeight="1" s="50">
      <c r="A31" s="69" t="inlineStr">
        <is>
          <t>Camino B · más unidades por cliente</t>
        </is>
      </c>
      <c r="B31" s="36">
        <f>B7*B9*B10*B17</f>
        <v/>
      </c>
      <c r="C31" s="38">
        <f>"clientes por día ("&amp;B7&amp;") × precio ("&amp;TEXT(B9,"$#,##0")&amp;") × días abiertos ("&amp;B10&amp;") × unidades adicionales ("&amp;B17&amp;")"</f>
        <v/>
      </c>
      <c r="D31" s="8" t="inlineStr">
        <is>
          <t>Trae todos menos «unidades por cada cliente», por la misma razón. Esa fracción extra se cobra en cada uno de los clientes que ya entran.</t>
        </is>
      </c>
    </row>
    <row r="32" ht="58.5" customHeight="1" s="50">
      <c r="A32" s="69" t="inlineStr">
        <is>
          <t>Camino C · más días abiertos</t>
        </is>
      </c>
      <c r="B32" s="36">
        <f>B7*B8*B9*B18</f>
        <v/>
      </c>
      <c r="C32" s="38">
        <f>"clientes por día ("&amp;B7&amp;") × unidades por cliente ("&amp;B8&amp;") × precio ("&amp;TEXT(B9,"$#,##0")&amp;") × días adicionales ("&amp;B18&amp;")"</f>
        <v/>
      </c>
      <c r="D32" s="8" t="n"/>
    </row>
    <row r="33" ht="23.85" customHeight="1" s="50">
      <c r="A33" s="51" t="inlineStr">
        <is>
          <t>Los tres números son POR MES, incluido el Camino C. Que el Camino C coincida con el ingreso de un día no es porque cambie de unidad: es porque agregar un día al mes le suma al mes exactamente lo que vende un día. El Camino C sigue sin competir con los otros dos, porque el mes tiene entre 28 y 31 días y ahí se acaba.</t>
        </is>
      </c>
    </row>
    <row r="34" ht="24" customHeight="1" s="50"/>
    <row r="35" ht="25.5" customHeight="1" s="50">
      <c r="A35" s="49" t="inlineStr">
        <is>
          <t>5  ·  EL MES SI MUEVES UNA SOLA COSA</t>
        </is>
      </c>
    </row>
    <row r="36" ht="27.75" customHeight="1" s="50">
      <c r="A36" s="52" t="inlineStr">
        <is>
          <t>Lo mismo de arriba, ya sumado al mes. Aquí se ve el tamaño real de cada decisión.</t>
        </is>
      </c>
    </row>
    <row r="37" ht="24" customHeight="1" s="50">
      <c r="A37" s="61" t="inlineStr">
        <is>
          <t>Escenario</t>
        </is>
      </c>
      <c r="B37" s="61" t="inlineStr">
        <is>
          <t>Total del mes</t>
        </is>
      </c>
      <c r="C37" s="61" t="inlineStr">
        <is>
          <t>Cuánto más que el mes actual</t>
        </is>
      </c>
      <c r="D37" s="61" t="inlineStr">
        <is>
          <t>Qué se movió</t>
        </is>
      </c>
    </row>
    <row r="38" ht="24" customHeight="1" s="50">
      <c r="A38" s="69" t="inlineStr">
        <is>
          <t>Hoy, sin mover nada</t>
        </is>
      </c>
      <c r="B38" s="36">
        <f>B25</f>
        <v/>
      </c>
      <c r="C38" s="8" t="inlineStr">
        <is>
          <t>—</t>
        </is>
      </c>
      <c r="D38" s="8" t="inlineStr">
        <is>
          <t>no se movió nada: es el mes actual.</t>
        </is>
      </c>
    </row>
    <row r="39" ht="24" customHeight="1" s="50">
      <c r="A39" s="69" t="inlineStr">
        <is>
          <t>Con el Camino A</t>
        </is>
      </c>
      <c r="B39" s="36">
        <f>B25+B30</f>
        <v/>
      </c>
      <c r="C39" s="39">
        <f>B39-B38</f>
        <v/>
      </c>
      <c r="D39" s="8">
        <f>"con "&amp;B15&amp;" clientes nuevos al mes (≈"&amp;ROUND(B16,2)&amp;" por día), el día promedio pasa de "&amp;B7&amp;" a "&amp;ROUND(B7+B16,2)&amp;" clientes."</f>
        <v/>
      </c>
    </row>
    <row r="40" ht="24" customHeight="1" s="50">
      <c r="A40" s="69" t="inlineStr">
        <is>
          <t>Con el Camino B</t>
        </is>
      </c>
      <c r="B40" s="36">
        <f>B25+B31</f>
        <v/>
      </c>
      <c r="C40" s="39">
        <f>B40-B38</f>
        <v/>
      </c>
      <c r="D40" s="8">
        <f>"unidades por cada cliente: "&amp;B8&amp;" + "&amp;B17&amp;" = "&amp;ROUND(B8+B17,2)</f>
        <v/>
      </c>
    </row>
    <row r="41" ht="90" customHeight="1" s="50">
      <c r="A41" s="69" t="inlineStr">
        <is>
          <t>Con el Camino C</t>
        </is>
      </c>
      <c r="B41" s="36">
        <f>B25+B32</f>
        <v/>
      </c>
      <c r="C41" s="39">
        <f>B41-B38</f>
        <v/>
      </c>
      <c r="D41" s="8">
        <f>"días abiertos al mes: "&amp;B10&amp;" + "&amp;B18&amp;" = "&amp;B10+B18</f>
        <v/>
      </c>
    </row>
    <row r="42" ht="69.75" customHeight="1" s="50">
      <c r="A42" s="52">
        <f>"El que más suma es el Camino "&amp;IF(AND(B30&gt;=B31,B30&gt;=B32),"A",IF(B31&gt;=B32,"B","C"))&amp;". No es que esa palanca sea mejor que las otras: es que el movimiento que le pusimos es el más grande de los tres comparado con la base sobre la que cae. Cada camino tiene su punto de quiebre, y aquí están: el Camino A ganaría con "&amp;ROUNDUP(MAX(B31,B32)/(B8*B9*B10),0)&amp;" clientes adicionales al día en promedio (hoy vas en "&amp;ROUND(B16,2)&amp;", equivalente a "&amp;B15&amp;" al mes); al Camino B le bastarían "&amp;ROUNDUP(MAX(B30,B32)/(B7*B9*B10),2)&amp;" unidades por cliente; y el Camino C ganaría con "&amp;ROUNDUP(MAX(B30,B31)/(B7*B8*B9),0)&amp;" días. Cámbialos en el bloque 2 y vuelve a mirar aquí: el que gana cambia. Fíjate en cuál de esos tres movimientos está más a tu alcance en la vida real, porque eso no lo contesta la hoja. Y el Camino C no compite del todo: el mes tiene entre 28 y 31 días"&amp;" y ahí se acaba."</f>
        <v/>
      </c>
    </row>
    <row r="43" ht="15" customHeight="1" s="50"/>
    <row r="44" ht="15" customHeight="1" s="50"/>
    <row r="45" ht="15" customHeight="1" s="50"/>
    <row r="46" ht="15" customHeight="1" s="50"/>
    <row r="47" ht="15" customHeight="1" s="50"/>
    <row r="48" ht="15" customHeight="1" s="50"/>
    <row r="49" ht="15" customHeight="1" s="50"/>
    <row r="50" ht="15" customHeight="1" s="50"/>
    <row r="51" ht="15" customHeight="1" s="50"/>
    <row r="52" ht="15" customHeight="1" s="50"/>
    <row r="53" ht="15" customHeight="1" s="50"/>
    <row r="54" ht="15" customHeight="1" s="50"/>
    <row r="55" ht="15" customHeight="1" s="50"/>
    <row r="56" ht="15" customHeight="1" s="50"/>
  </sheetData>
  <mergeCells count="15">
    <mergeCell ref="A1:D1"/>
    <mergeCell ref="A5:D5"/>
    <mergeCell ref="A27:D27"/>
    <mergeCell ref="A42:D42"/>
    <mergeCell ref="A35:D35"/>
    <mergeCell ref="A12:D12"/>
    <mergeCell ref="A4:D4"/>
    <mergeCell ref="A20:D20"/>
    <mergeCell ref="A21:D21"/>
    <mergeCell ref="A33:D33"/>
    <mergeCell ref="A11:D11"/>
    <mergeCell ref="A2:D2"/>
    <mergeCell ref="A28:D28"/>
    <mergeCell ref="A36:D36"/>
    <mergeCell ref="A13:D13"/>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D22"/>
  <sheetViews>
    <sheetView zoomScaleNormal="100" workbookViewId="0">
      <selection activeCell="A1" sqref="A1"/>
    </sheetView>
  </sheetViews>
  <sheetFormatPr baseColWidth="8" defaultColWidth="14.3984375" defaultRowHeight="14.25"/>
  <cols>
    <col width="32" customWidth="1" style="50" min="1" max="1"/>
    <col width="96" customWidth="1" style="50" min="2" max="2"/>
    <col width="14" customWidth="1" style="50" min="3" max="3"/>
    <col width="18" customWidth="1" style="50" min="4" max="4"/>
    <col width="8.73046875" customWidth="1" style="50" min="5" max="26"/>
  </cols>
  <sheetData>
    <row r="1" ht="24" customHeight="1" s="50">
      <c r="A1" s="49" t="inlineStr">
        <is>
          <t>VOCABULARIO ACUMULADO</t>
        </is>
      </c>
    </row>
    <row r="2" ht="19.5" customHeight="1" s="50">
      <c r="A2" s="69" t="inlineStr">
        <is>
          <t>Las definiciones son las mismas del glosario de la app. Se consultan, no se reescriben.</t>
        </is>
      </c>
    </row>
    <row r="3" ht="15" customHeight="1" s="50"/>
    <row r="4" ht="24" customHeight="1" s="50">
      <c r="A4" s="49" t="inlineStr">
        <is>
          <t>SEMANA 1  ·  ¿POR QUÉ LOS NÚMEROS?</t>
        </is>
      </c>
    </row>
    <row r="5" ht="30" customHeight="1" s="50">
      <c r="A5" s="40" t="inlineStr">
        <is>
          <t>Término</t>
        </is>
      </c>
      <c r="B5" s="40" t="inlineStr">
        <is>
          <t>Definición</t>
        </is>
      </c>
      <c r="C5" s="40" t="inlineStr">
        <is>
          <t>Semana</t>
        </is>
      </c>
      <c r="D5" s="40" t="inlineStr">
        <is>
          <t>Categoría</t>
        </is>
      </c>
    </row>
    <row r="6" ht="42" customHeight="1" s="50">
      <c r="A6" s="41" t="inlineStr">
        <is>
          <t>Dato</t>
        </is>
      </c>
      <c r="B6" s="42" t="inlineStr">
        <is>
          <t>Un valor concreto que se observa o se mide: cuánto cobra un competidor, cuántas personas pasan frente a un local en una hora, cuánto cuesta un insumo.</t>
        </is>
      </c>
      <c r="C6" s="43" t="inlineStr">
        <is>
          <t>1</t>
        </is>
      </c>
      <c r="D6" s="43" t="inlineStr">
        <is>
          <t>general</t>
        </is>
      </c>
    </row>
    <row r="7" ht="42" customHeight="1" s="50">
      <c r="A7" s="41" t="inlineStr">
        <is>
          <t>Métrica</t>
        </is>
      </c>
      <c r="B7" s="42" t="inlineStr">
        <is>
          <t>El dato que sí importa seguir de cerca porque de él depende una decisión. No todos los datos son igual de importantes.</t>
        </is>
      </c>
      <c r="C7" s="43" t="inlineStr">
        <is>
          <t>1</t>
        </is>
      </c>
      <c r="D7" s="43" t="inlineStr">
        <is>
          <t>general</t>
        </is>
      </c>
    </row>
    <row r="8" ht="42" customHeight="1" s="50">
      <c r="A8" s="41" t="inlineStr">
        <is>
          <t>Modelo</t>
        </is>
      </c>
      <c r="B8" s="42" t="inlineStr">
        <is>
          <t>Una versión simplificada de la realidad de un negocio que se usa para tomar una decisión concreta: cuánto cobrar, cuánta gente necesito, si el negocio se sostiene.</t>
        </is>
      </c>
      <c r="C8" s="43" t="inlineStr">
        <is>
          <t>1</t>
        </is>
      </c>
      <c r="D8" s="43" t="inlineStr">
        <is>
          <t>general</t>
        </is>
      </c>
    </row>
    <row r="9" ht="42" customHeight="1" s="50">
      <c r="A9" s="41" t="inlineStr">
        <is>
          <t>Referente</t>
        </is>
      </c>
      <c r="B9" s="42" t="inlineStr">
        <is>
          <t>Un negocio que ya existe y que sirve de comparación. Sus números, aunque no sean exactos para tu caso, dan una primera idea de qué esperar.</t>
        </is>
      </c>
      <c r="C9" s="43" t="inlineStr">
        <is>
          <t>1</t>
        </is>
      </c>
      <c r="D9" s="43" t="inlineStr">
        <is>
          <t>general</t>
        </is>
      </c>
    </row>
    <row r="10" ht="42" customHeight="1" s="50">
      <c r="A10" s="41" t="inlineStr">
        <is>
          <t>Supuesto</t>
        </is>
      </c>
      <c r="B10" s="42" t="inlineStr">
        <is>
          <t>Algo que el modelo da por cierto sin haberlo confirmado todavía. Nombrarlo es lo que permite revisar el modelo después, cuando lleguen datos reales.</t>
        </is>
      </c>
      <c r="C10" s="43" t="inlineStr">
        <is>
          <t>1</t>
        </is>
      </c>
      <c r="D10" s="43" t="inlineStr">
        <is>
          <t>general</t>
        </is>
      </c>
    </row>
    <row r="11" ht="42" customHeight="1" s="50">
      <c r="A11" s="41" t="inlineStr">
        <is>
          <t>Piso</t>
        </is>
      </c>
      <c r="B11" s="42" t="inlineStr">
        <is>
          <t>El resultado más bajo que es razonable esperar, calculado usando el extremo conservador de lo que reportan negocios parecidos al tuyo. No es la predicción de un desastre ni el peor caso imaginable: es el borde de abajo del terreno donde tiene sentido que caiga tu número.</t>
        </is>
      </c>
      <c r="C11" s="43" t="inlineStr">
        <is>
          <t>1</t>
        </is>
      </c>
      <c r="D11" s="43" t="inlineStr">
        <is>
          <t>general</t>
        </is>
      </c>
    </row>
    <row r="12" ht="42" customHeight="1" s="50">
      <c r="A12" s="41" t="inlineStr">
        <is>
          <t>Techo</t>
        </is>
      </c>
      <c r="B12" s="42" t="inlineStr">
        <is>
          <t>El resultado más alto que es razonable esperar, calculado usando el extremo favorable de lo que reportan negocios parecidos al tuyo. Es el borde de arriba del mismo terreno que marca el piso, no una meta ni una promesa.</t>
        </is>
      </c>
      <c r="C12" s="43" t="inlineStr">
        <is>
          <t>1</t>
        </is>
      </c>
      <c r="D12" s="43" t="inlineStr">
        <is>
          <t>general</t>
        </is>
      </c>
    </row>
    <row r="13" ht="15" customHeight="1" s="50"/>
    <row r="14" ht="24" customHeight="1" s="50">
      <c r="A14" s="49" t="inlineStr">
        <is>
          <t>SEMANA 2  ·  DE LOS NÚMEROS A LA ESTRATEGIA</t>
        </is>
      </c>
    </row>
    <row r="15" ht="30" customHeight="1" s="50">
      <c r="A15" s="40" t="inlineStr">
        <is>
          <t>Término</t>
        </is>
      </c>
      <c r="B15" s="40" t="inlineStr">
        <is>
          <t>Definición</t>
        </is>
      </c>
      <c r="C15" s="40" t="inlineStr">
        <is>
          <t>Semana</t>
        </is>
      </c>
      <c r="D15" s="40" t="inlineStr">
        <is>
          <t>Categoría</t>
        </is>
      </c>
    </row>
    <row r="16" ht="42" customHeight="1" s="50">
      <c r="A16" s="41" t="inlineStr">
        <is>
          <t>Proporción / razón</t>
        </is>
      </c>
      <c r="B16" s="42" t="inlineStr">
        <is>
          <t>La comparación entre dos cantidades que dice qué tanto corresponde de una por cada unidad de la otra: por ejemplo, unidades por cada cliente.</t>
        </is>
      </c>
      <c r="C16" s="43" t="inlineStr">
        <is>
          <t>2</t>
        </is>
      </c>
      <c r="D16" s="43" t="inlineStr">
        <is>
          <t>matematico</t>
        </is>
      </c>
    </row>
    <row r="17" ht="42" customHeight="1" s="50">
      <c r="A17" s="41" t="inlineStr">
        <is>
          <t>Tasa</t>
        </is>
      </c>
      <c r="B17" s="42" t="inlineStr">
        <is>
          <t>Una proporción donde el segundo término es tiempo, como clientes por día o ventas por mes.</t>
        </is>
      </c>
      <c r="C17" s="43" t="inlineStr">
        <is>
          <t>2</t>
        </is>
      </c>
      <c r="D17" s="43" t="inlineStr">
        <is>
          <t>matematico</t>
        </is>
      </c>
    </row>
    <row r="18" ht="42" customHeight="1" s="50">
      <c r="A18" s="41" t="inlineStr">
        <is>
          <t>La métrica que importa</t>
        </is>
      </c>
      <c r="B18" s="42" t="inlineStr">
        <is>
          <t>La palanca que, con los supuestos actuales del negocio, más mueve el resultado si se mueve ella. No es la única métrica del negocio, es la más sensible en un momento dado.</t>
        </is>
      </c>
      <c r="C18" s="43" t="inlineStr">
        <is>
          <t>2</t>
        </is>
      </c>
      <c r="D18" s="43" t="inlineStr">
        <is>
          <t>negocio</t>
        </is>
      </c>
    </row>
    <row r="19" ht="42" customHeight="1" s="50">
      <c r="A19" s="41" t="inlineStr">
        <is>
          <t>Palanca</t>
        </is>
      </c>
      <c r="B19" s="42" t="inlineStr">
        <is>
          <t>Un número del modelo que, al cambiarlo, cambia el resultado; distintas palancas mueven el resultado en distinta medida.</t>
        </is>
      </c>
      <c r="C19" s="43" t="inlineStr">
        <is>
          <t>2</t>
        </is>
      </c>
      <c r="D19" s="43" t="inlineStr">
        <is>
          <t>negocio</t>
        </is>
      </c>
    </row>
    <row r="20" ht="42" customHeight="1" s="50">
      <c r="A20" s="41" t="inlineStr">
        <is>
          <t>Tablero de supuestos</t>
        </is>
      </c>
      <c r="B20" s="42" t="inlineStr">
        <is>
          <t>El conjunto de supuestos de un negocio puestos juntos y editables, para poder preguntar qué pasaría si alguno de esos números fuera distinto.</t>
        </is>
      </c>
      <c r="C20" s="43" t="inlineStr">
        <is>
          <t>2</t>
        </is>
      </c>
      <c r="D20" s="43" t="inlineStr">
        <is>
          <t>negocio</t>
        </is>
      </c>
    </row>
    <row r="21" ht="42" customHeight="1" s="50">
      <c r="A21" s="41" t="inlineStr">
        <is>
          <t>Unidad</t>
        </is>
      </c>
      <c r="B21" s="42" t="inlineStr">
        <is>
          <t>La palabra que dice qué está contando un número: no es lo mismo 87 que "87 clientes por día". Todo valor del tablero va acompañado de su unidad, porque un número solo no dice nada.</t>
        </is>
      </c>
      <c r="C21" s="43" t="inlineStr">
        <is>
          <t>2</t>
        </is>
      </c>
      <c r="D21" s="43" t="inlineStr">
        <is>
          <t>matematico</t>
        </is>
      </c>
    </row>
    <row r="22" ht="42" customHeight="1" s="50">
      <c r="A22" s="41" t="inlineStr">
        <is>
          <t>Valor</t>
        </is>
      </c>
      <c r="B22" s="42" t="inlineStr">
        <is>
          <t>El número concreto de un supuesto o de un movimiento. Va siempre junto a su unidad, en la columna de al lado: un valor solo, sin unidad, no dice qué está midiendo.</t>
        </is>
      </c>
      <c r="C22" s="43" t="inlineStr">
        <is>
          <t>2</t>
        </is>
      </c>
      <c r="D22" s="43" t="inlineStr">
        <is>
          <t>matematico</t>
        </is>
      </c>
    </row>
    <row r="23" ht="15.75" customHeight="1" s="50"/>
    <row r="24" ht="15.75" customHeight="1" s="50"/>
    <row r="25" ht="15.75" customHeight="1" s="50"/>
    <row r="26" ht="15.75" customHeight="1" s="50"/>
    <row r="27" ht="15.75" customHeight="1" s="50"/>
    <row r="28" ht="15.75" customHeight="1" s="50"/>
    <row r="29" ht="15.75" customHeight="1" s="50"/>
    <row r="30" ht="15.75" customHeight="1" s="50"/>
    <row r="31" ht="15.75" customHeight="1" s="50"/>
    <row r="32" ht="15.75" customHeight="1" s="50"/>
    <row r="33" ht="15.75" customHeight="1" s="50"/>
    <row r="34" ht="15.75" customHeight="1" s="50"/>
    <row r="35" ht="15.75" customHeight="1" s="50"/>
    <row r="36" ht="15.75" customHeight="1" s="50"/>
    <row r="37" ht="15.75" customHeight="1" s="50"/>
    <row r="38" ht="15.75" customHeight="1" s="50"/>
    <row r="39" ht="15.75" customHeight="1" s="50"/>
    <row r="40" ht="15.75" customHeight="1" s="50"/>
    <row r="41" ht="15.75" customHeight="1" s="50"/>
    <row r="42" ht="15.75" customHeight="1" s="50"/>
    <row r="43" ht="15.75" customHeight="1" s="50"/>
    <row r="44" ht="15.75" customHeight="1" s="50"/>
    <row r="45" ht="15.75" customHeight="1" s="50"/>
    <row r="46" ht="15.75" customHeight="1" s="50"/>
    <row r="47" ht="15.75" customHeight="1" s="50"/>
    <row r="48" ht="15.75" customHeight="1" s="50"/>
    <row r="49" ht="15.75" customHeight="1" s="50"/>
    <row r="50" ht="15.75" customHeight="1" s="50"/>
    <row r="51" ht="15.75" customHeight="1" s="50"/>
    <row r="52" ht="15.75" customHeight="1" s="50"/>
    <row r="53" ht="15.75" customHeight="1" s="50"/>
    <row r="54" ht="15.75" customHeight="1" s="50"/>
    <row r="55" ht="15.75" customHeight="1" s="50"/>
    <row r="56" ht="15.75" customHeight="1" s="50"/>
    <row r="57" ht="15.75" customHeight="1" s="50"/>
    <row r="58" ht="15.75" customHeight="1" s="50"/>
    <row r="59" ht="15.75" customHeight="1" s="50"/>
    <row r="60" ht="15.75" customHeight="1" s="50"/>
    <row r="61" ht="15.75" customHeight="1" s="50"/>
    <row r="62" ht="15.75" customHeight="1" s="50"/>
    <row r="63" ht="15.75" customHeight="1" s="50"/>
    <row r="64" ht="15.75" customHeight="1" s="50"/>
    <row r="65" ht="15.75" customHeight="1" s="50"/>
    <row r="66" ht="15.75" customHeight="1" s="50"/>
    <row r="67" ht="15.75" customHeight="1" s="50"/>
    <row r="68" ht="15.75" customHeight="1" s="50"/>
    <row r="69" ht="15.75" customHeight="1" s="50"/>
    <row r="70" ht="15.75" customHeight="1" s="50"/>
    <row r="71" ht="15.75" customHeight="1" s="50"/>
    <row r="72" ht="15.75" customHeight="1" s="50"/>
    <row r="73" ht="15.75" customHeight="1" s="50"/>
    <row r="74" ht="15.75" customHeight="1" s="50"/>
    <row r="75" ht="15.75" customHeight="1" s="50"/>
    <row r="76" ht="15.75" customHeight="1" s="50"/>
    <row r="77" ht="15.75" customHeight="1" s="50"/>
    <row r="78" ht="15.75" customHeight="1" s="50"/>
    <row r="79" ht="15.75" customHeight="1" s="50"/>
    <row r="80" ht="15.75" customHeight="1" s="50"/>
    <row r="81" ht="15.75" customHeight="1" s="50"/>
    <row r="82" ht="15.75" customHeight="1" s="50"/>
    <row r="83" ht="15.75" customHeight="1" s="50"/>
    <row r="84" ht="15.75" customHeight="1" s="50"/>
    <row r="85" ht="15.75" customHeight="1" s="50"/>
    <row r="86" ht="15.75" customHeight="1" s="50"/>
    <row r="87" ht="15.75" customHeight="1" s="50"/>
    <row r="88" ht="15.75" customHeight="1" s="50"/>
    <row r="89" ht="15.75" customHeight="1" s="50"/>
    <row r="90" ht="15.75" customHeight="1" s="50"/>
    <row r="91" ht="15.75" customHeight="1" s="50"/>
    <row r="92" ht="15.75" customHeight="1" s="50"/>
    <row r="93" ht="15.75" customHeight="1" s="50"/>
    <row r="94" ht="15.75" customHeight="1" s="50"/>
    <row r="95" ht="15.75" customHeight="1" s="50"/>
    <row r="96" ht="15.75" customHeight="1" s="50"/>
    <row r="97" ht="15.75" customHeight="1" s="50"/>
    <row r="98" ht="15.75" customHeight="1" s="50"/>
    <row r="99" ht="15.75" customHeight="1" s="50"/>
    <row r="100" ht="15.75" customHeight="1" s="50"/>
    <row r="101" ht="15.75" customHeight="1" s="50"/>
    <row r="102" ht="15.75" customHeight="1" s="50"/>
    <row r="103" ht="15.75" customHeight="1" s="50"/>
    <row r="104" ht="15.75" customHeight="1" s="50"/>
    <row r="105" ht="15.75" customHeight="1" s="50"/>
    <row r="106" ht="15.75" customHeight="1" s="50"/>
    <row r="107" ht="15.75" customHeight="1" s="50"/>
    <row r="108" ht="15.75" customHeight="1" s="50"/>
    <row r="109" ht="15.75" customHeight="1" s="50"/>
    <row r="110" ht="15.75" customHeight="1" s="50"/>
    <row r="111" ht="15.75" customHeight="1" s="50"/>
    <row r="112" ht="15.75" customHeight="1" s="50"/>
    <row r="113" ht="15.75" customHeight="1" s="50"/>
    <row r="114" ht="15.75" customHeight="1" s="50"/>
    <row r="115" ht="15.75" customHeight="1" s="50"/>
    <row r="116" ht="15.75" customHeight="1" s="50"/>
    <row r="117" ht="15.75" customHeight="1" s="50"/>
    <row r="118" ht="15.75" customHeight="1" s="50"/>
    <row r="119" ht="15.75" customHeight="1" s="50"/>
    <row r="120" ht="15.75" customHeight="1" s="50"/>
    <row r="121" ht="15.75" customHeight="1" s="50"/>
    <row r="122" ht="15.75" customHeight="1" s="50"/>
    <row r="123" ht="15.75" customHeight="1" s="50"/>
    <row r="124" ht="15.75" customHeight="1" s="50"/>
    <row r="125" ht="15.75" customHeight="1" s="50"/>
    <row r="126" ht="15.75" customHeight="1" s="50"/>
    <row r="127" ht="15.75" customHeight="1" s="50"/>
    <row r="128" ht="15.75" customHeight="1" s="50"/>
    <row r="129" ht="15.75" customHeight="1" s="50"/>
    <row r="130" ht="15.75" customHeight="1" s="50"/>
    <row r="131" ht="15.75" customHeight="1" s="50"/>
    <row r="132" ht="15.75" customHeight="1" s="50"/>
    <row r="133" ht="15.75" customHeight="1" s="50"/>
    <row r="134" ht="15.75" customHeight="1" s="50"/>
    <row r="135" ht="15.75" customHeight="1" s="50"/>
    <row r="136" ht="15.75" customHeight="1" s="50"/>
    <row r="137" ht="15.75" customHeight="1" s="50"/>
    <row r="138" ht="15.75" customHeight="1" s="50"/>
    <row r="139" ht="15.75" customHeight="1" s="50"/>
    <row r="140" ht="15.75" customHeight="1" s="50"/>
    <row r="141" ht="15.75" customHeight="1" s="50"/>
    <row r="142" ht="15.75" customHeight="1" s="50"/>
    <row r="143" ht="15.75" customHeight="1" s="50"/>
    <row r="144" ht="15.75" customHeight="1" s="50"/>
    <row r="145" ht="15.75" customHeight="1" s="50"/>
    <row r="146" ht="15.75" customHeight="1" s="50"/>
    <row r="147" ht="15.75" customHeight="1" s="50"/>
    <row r="148" ht="15.75" customHeight="1" s="50"/>
    <row r="149" ht="15.75" customHeight="1" s="50"/>
    <row r="150" ht="15.75" customHeight="1" s="50"/>
    <row r="151" ht="15.75" customHeight="1" s="50"/>
    <row r="152" ht="15.75" customHeight="1" s="50"/>
    <row r="153" ht="15.75" customHeight="1" s="50"/>
    <row r="154" ht="15.75" customHeight="1" s="50"/>
    <row r="155" ht="15.75" customHeight="1" s="50"/>
    <row r="156" ht="15.75" customHeight="1" s="50"/>
    <row r="157" ht="15.75" customHeight="1" s="50"/>
    <row r="158" ht="15.75" customHeight="1" s="50"/>
    <row r="159" ht="15.75" customHeight="1" s="50"/>
    <row r="160" ht="15.75" customHeight="1" s="50"/>
    <row r="161" ht="15.75" customHeight="1" s="50"/>
    <row r="162" ht="15.75" customHeight="1" s="50"/>
    <row r="163" ht="15.75" customHeight="1" s="50"/>
    <row r="164" ht="15.75" customHeight="1" s="50"/>
    <row r="165" ht="15.75" customHeight="1" s="50"/>
    <row r="166" ht="15.75" customHeight="1" s="50"/>
    <row r="167" ht="15.75" customHeight="1" s="50"/>
    <row r="168" ht="15.75" customHeight="1" s="50"/>
    <row r="169" ht="15.75" customHeight="1" s="50"/>
    <row r="170" ht="15.75" customHeight="1" s="50"/>
    <row r="171" ht="15.75" customHeight="1" s="50"/>
    <row r="172" ht="15.75" customHeight="1" s="50"/>
    <row r="173" ht="15.75" customHeight="1" s="50"/>
    <row r="174" ht="15.75" customHeight="1" s="50"/>
    <row r="175" ht="15.75" customHeight="1" s="50"/>
    <row r="176" ht="15.75" customHeight="1" s="50"/>
    <row r="177" ht="15.75" customHeight="1" s="50"/>
    <row r="178" ht="15.75" customHeight="1" s="50"/>
    <row r="179" ht="15.75" customHeight="1" s="50"/>
    <row r="180" ht="15.75" customHeight="1" s="50"/>
    <row r="181" ht="15.75" customHeight="1" s="50"/>
    <row r="182" ht="15.75" customHeight="1" s="50"/>
    <row r="183" ht="15.75" customHeight="1" s="50"/>
    <row r="184" ht="15.75" customHeight="1" s="50"/>
    <row r="185" ht="15.75" customHeight="1" s="50"/>
    <row r="186" ht="15.75" customHeight="1" s="50"/>
    <row r="187" ht="15.75" customHeight="1" s="50"/>
    <row r="188" ht="15.75" customHeight="1" s="50"/>
    <row r="189" ht="15.75" customHeight="1" s="50"/>
    <row r="190" ht="15.75" customHeight="1" s="50"/>
    <row r="191" ht="15.75" customHeight="1" s="50"/>
    <row r="192" ht="15.75" customHeight="1" s="50"/>
    <row r="193" ht="15.75" customHeight="1" s="50"/>
    <row r="194" ht="15.75" customHeight="1" s="50"/>
    <row r="195" ht="15.75" customHeight="1" s="50"/>
    <row r="196" ht="15.75" customHeight="1" s="50"/>
    <row r="197" ht="15.75" customHeight="1" s="50"/>
    <row r="198" ht="15.75" customHeight="1" s="50"/>
    <row r="199" ht="15.75" customHeight="1" s="50"/>
    <row r="200" ht="15.75" customHeight="1" s="50"/>
    <row r="201" ht="15.75" customHeight="1" s="50"/>
    <row r="202" ht="15.75" customHeight="1" s="50"/>
    <row r="203" ht="15.75" customHeight="1" s="50"/>
    <row r="204" ht="15.75" customHeight="1" s="50"/>
    <row r="205" ht="15.75" customHeight="1" s="50"/>
    <row r="206" ht="15.75" customHeight="1" s="50"/>
    <row r="207" ht="15.75" customHeight="1" s="50"/>
    <row r="208" ht="15.75" customHeight="1" s="50"/>
    <row r="209" ht="15.75" customHeight="1" s="50"/>
    <row r="210" ht="15.75" customHeight="1" s="50"/>
    <row r="211" ht="15.75" customHeight="1" s="50"/>
    <row r="212" ht="15.75" customHeight="1" s="50"/>
    <row r="213" ht="15.75" customHeight="1" s="50"/>
    <row r="214" ht="15.75" customHeight="1" s="50"/>
    <row r="215" ht="15.75" customHeight="1" s="50"/>
    <row r="216" ht="15.75" customHeight="1" s="50"/>
    <row r="217" ht="15.75" customHeight="1" s="50"/>
    <row r="218" ht="15.75" customHeight="1" s="50"/>
    <row r="219" ht="15.75" customHeight="1" s="50"/>
    <row r="220" ht="15.75" customHeight="1" s="50"/>
    <row r="221" ht="15.75" customHeight="1" s="50"/>
    <row r="222" ht="15.75" customHeight="1" s="50"/>
    <row r="223" ht="15.75" customHeight="1" s="50"/>
    <row r="224" ht="15.75" customHeight="1" s="50"/>
    <row r="225" ht="15.75" customHeight="1" s="50"/>
    <row r="226" ht="15.75" customHeight="1" s="50"/>
    <row r="227" ht="15.75" customHeight="1" s="50"/>
    <row r="228" ht="15.75" customHeight="1" s="50"/>
    <row r="229" ht="15.75" customHeight="1" s="50"/>
    <row r="230" ht="15.75" customHeight="1" s="50"/>
    <row r="231" ht="15.75" customHeight="1" s="50"/>
    <row r="232" ht="15.75" customHeight="1" s="50"/>
    <row r="233" ht="15.75" customHeight="1" s="50"/>
    <row r="234" ht="15.75" customHeight="1" s="50"/>
    <row r="235" ht="15.75" customHeight="1" s="50"/>
    <row r="236" ht="15.75" customHeight="1" s="50"/>
    <row r="237" ht="15.75" customHeight="1" s="50"/>
    <row r="238" ht="15.75" customHeight="1" s="50"/>
    <row r="239" ht="15.75" customHeight="1" s="50"/>
    <row r="240" ht="15.75" customHeight="1" s="50"/>
    <row r="241" ht="15.75" customHeight="1" s="50"/>
    <row r="242" ht="15.75" customHeight="1" s="50"/>
    <row r="243" ht="15.75" customHeight="1" s="50"/>
    <row r="244" ht="15.75" customHeight="1" s="50"/>
    <row r="245" ht="15.75" customHeight="1" s="50"/>
    <row r="246" ht="15.75" customHeight="1" s="50"/>
    <row r="247" ht="15.75" customHeight="1" s="50"/>
    <row r="248" ht="15.75" customHeight="1" s="50"/>
    <row r="249" ht="15.75" customHeight="1" s="50"/>
    <row r="250" ht="15.75" customHeight="1" s="50"/>
    <row r="251" ht="15.75" customHeight="1" s="50"/>
    <row r="252" ht="15.75" customHeight="1" s="50"/>
    <row r="253" ht="15.75" customHeight="1" s="50"/>
    <row r="254" ht="15.75" customHeight="1" s="50"/>
    <row r="255" ht="15.75" customHeight="1" s="50"/>
    <row r="256" ht="15.75" customHeight="1" s="50"/>
    <row r="257" ht="15.75" customHeight="1" s="50"/>
    <row r="258" ht="15.75" customHeight="1" s="50"/>
    <row r="259" ht="15.75" customHeight="1" s="50"/>
    <row r="260" ht="15.75" customHeight="1" s="50"/>
    <row r="261" ht="15.75" customHeight="1" s="50"/>
    <row r="262" ht="15.75" customHeight="1" s="50"/>
    <row r="263" ht="15.75" customHeight="1" s="50"/>
    <row r="264" ht="15.75" customHeight="1" s="50"/>
    <row r="265" ht="15.75" customHeight="1" s="50"/>
    <row r="266" ht="15.75" customHeight="1" s="50"/>
    <row r="267" ht="15.75" customHeight="1" s="50"/>
    <row r="268" ht="15.75" customHeight="1" s="50"/>
    <row r="269" ht="15.75" customHeight="1" s="50"/>
    <row r="270" ht="15.75" customHeight="1" s="50"/>
    <row r="271" ht="15.75" customHeight="1" s="50"/>
    <row r="272" ht="15.75" customHeight="1" s="50"/>
    <row r="273" ht="15.75" customHeight="1" s="50"/>
    <row r="274" ht="15.75" customHeight="1" s="50"/>
    <row r="275" ht="15.75" customHeight="1" s="50"/>
    <row r="276" ht="15.75" customHeight="1" s="50"/>
    <row r="277" ht="15.75" customHeight="1" s="50"/>
    <row r="278" ht="15.75" customHeight="1" s="50"/>
    <row r="279" ht="15.75" customHeight="1" s="50"/>
    <row r="280" ht="15.75" customHeight="1" s="50"/>
    <row r="281" ht="15.75" customHeight="1" s="50"/>
    <row r="282" ht="15.75" customHeight="1" s="50"/>
    <row r="283" ht="15.75" customHeight="1" s="50"/>
    <row r="284" ht="15.75" customHeight="1" s="50"/>
    <row r="285" ht="15.75" customHeight="1" s="50"/>
    <row r="286" ht="15.75" customHeight="1" s="50"/>
    <row r="287" ht="15.75" customHeight="1" s="50"/>
    <row r="288" ht="15.75" customHeight="1" s="50"/>
    <row r="289" ht="15.75" customHeight="1" s="50"/>
    <row r="290" ht="15.75" customHeight="1" s="50"/>
    <row r="291" ht="15.75" customHeight="1" s="50"/>
    <row r="292" ht="15.75" customHeight="1" s="50"/>
    <row r="293" ht="15.75" customHeight="1" s="50"/>
    <row r="294" ht="15.75" customHeight="1" s="50"/>
    <row r="295" ht="15.75" customHeight="1" s="50"/>
    <row r="296" ht="15.75" customHeight="1" s="50"/>
    <row r="297" ht="15.75" customHeight="1" s="50"/>
    <row r="298" ht="15.75" customHeight="1" s="50"/>
    <row r="299" ht="15.75" customHeight="1" s="50"/>
    <row r="300" ht="15.75" customHeight="1" s="50"/>
    <row r="301" ht="15.75" customHeight="1" s="50"/>
    <row r="302" ht="15.75" customHeight="1" s="50"/>
    <row r="303" ht="15.75" customHeight="1" s="50"/>
    <row r="304" ht="15.75" customHeight="1" s="50"/>
    <row r="305" ht="15.75" customHeight="1" s="50"/>
    <row r="306" ht="15.75" customHeight="1" s="50"/>
    <row r="307" ht="15.75" customHeight="1" s="50"/>
    <row r="308" ht="15.75" customHeight="1" s="50"/>
    <row r="309" ht="15.75" customHeight="1" s="50"/>
    <row r="310" ht="15.75" customHeight="1" s="50"/>
    <row r="311" ht="15.75" customHeight="1" s="50"/>
    <row r="312" ht="15.75" customHeight="1" s="50"/>
    <row r="313" ht="15.75" customHeight="1" s="50"/>
    <row r="314" ht="15.75" customHeight="1" s="50"/>
    <row r="315" ht="15.75" customHeight="1" s="50"/>
    <row r="316" ht="15.75" customHeight="1" s="50"/>
    <row r="317" ht="15.75" customHeight="1" s="50"/>
    <row r="318" ht="15.75" customHeight="1" s="50"/>
    <row r="319" ht="15.75" customHeight="1" s="50"/>
    <row r="320" ht="15.75" customHeight="1" s="50"/>
    <row r="321" ht="15.75" customHeight="1" s="50"/>
    <row r="322" ht="15.75" customHeight="1" s="50"/>
    <row r="323" ht="15.75" customHeight="1" s="50"/>
    <row r="324" ht="15.75" customHeight="1" s="50"/>
    <row r="325" ht="15.75" customHeight="1" s="50"/>
    <row r="326" ht="15.75" customHeight="1" s="50"/>
    <row r="327" ht="15.75" customHeight="1" s="50"/>
    <row r="328" ht="15.75" customHeight="1" s="50"/>
    <row r="329" ht="15.75" customHeight="1" s="50"/>
    <row r="330" ht="15.75" customHeight="1" s="50"/>
    <row r="331" ht="15.75" customHeight="1" s="50"/>
    <row r="332" ht="15.75" customHeight="1" s="50"/>
    <row r="333" ht="15.75" customHeight="1" s="50"/>
    <row r="334" ht="15.75" customHeight="1" s="50"/>
    <row r="335" ht="15.75" customHeight="1" s="50"/>
    <row r="336" ht="15.75" customHeight="1" s="50"/>
    <row r="337" ht="15.75" customHeight="1" s="50"/>
    <row r="338" ht="15.75" customHeight="1" s="50"/>
    <row r="339" ht="15.75" customHeight="1" s="50"/>
    <row r="340" ht="15.75" customHeight="1" s="50"/>
    <row r="341" ht="15.75" customHeight="1" s="50"/>
    <row r="342" ht="15.75" customHeight="1" s="50"/>
    <row r="343" ht="15.75" customHeight="1" s="50"/>
    <row r="344" ht="15.75" customHeight="1" s="50"/>
    <row r="345" ht="15.75" customHeight="1" s="50"/>
    <row r="346" ht="15.75" customHeight="1" s="50"/>
    <row r="347" ht="15.75" customHeight="1" s="50"/>
    <row r="348" ht="15.75" customHeight="1" s="50"/>
    <row r="349" ht="15.75" customHeight="1" s="50"/>
    <row r="350" ht="15.75" customHeight="1" s="50"/>
    <row r="351" ht="15.75" customHeight="1" s="50"/>
    <row r="352" ht="15.75" customHeight="1" s="50"/>
    <row r="353" ht="15.75" customHeight="1" s="50"/>
    <row r="354" ht="15.75" customHeight="1" s="50"/>
    <row r="355" ht="15.75" customHeight="1" s="50"/>
    <row r="356" ht="15.75" customHeight="1" s="50"/>
    <row r="357" ht="15.75" customHeight="1" s="50"/>
    <row r="358" ht="15.75" customHeight="1" s="50"/>
    <row r="359" ht="15.75" customHeight="1" s="50"/>
    <row r="360" ht="15.75" customHeight="1" s="50"/>
    <row r="361" ht="15.75" customHeight="1" s="50"/>
    <row r="362" ht="15.75" customHeight="1" s="50"/>
    <row r="363" ht="15.75" customHeight="1" s="50"/>
    <row r="364" ht="15.75" customHeight="1" s="50"/>
    <row r="365" ht="15.75" customHeight="1" s="50"/>
    <row r="366" ht="15.75" customHeight="1" s="50"/>
    <row r="367" ht="15.75" customHeight="1" s="50"/>
    <row r="368" ht="15.75" customHeight="1" s="50"/>
    <row r="369" ht="15.75" customHeight="1" s="50"/>
    <row r="370" ht="15.75" customHeight="1" s="50"/>
    <row r="371" ht="15.75" customHeight="1" s="50"/>
    <row r="372" ht="15.75" customHeight="1" s="50"/>
    <row r="373" ht="15.75" customHeight="1" s="50"/>
    <row r="374" ht="15.75" customHeight="1" s="50"/>
    <row r="375" ht="15.75" customHeight="1" s="50"/>
    <row r="376" ht="15.75" customHeight="1" s="50"/>
    <row r="377" ht="15.75" customHeight="1" s="50"/>
    <row r="378" ht="15.75" customHeight="1" s="50"/>
    <row r="379" ht="15.75" customHeight="1" s="50"/>
    <row r="380" ht="15.75" customHeight="1" s="50"/>
    <row r="381" ht="15.75" customHeight="1" s="50"/>
    <row r="382" ht="15.75" customHeight="1" s="50"/>
    <row r="383" ht="15.75" customHeight="1" s="50"/>
    <row r="384" ht="15.75" customHeight="1" s="50"/>
    <row r="385" ht="15.75" customHeight="1" s="50"/>
    <row r="386" ht="15.75" customHeight="1" s="50"/>
    <row r="387" ht="15.75" customHeight="1" s="50"/>
    <row r="388" ht="15.75" customHeight="1" s="50"/>
    <row r="389" ht="15.75" customHeight="1" s="50"/>
    <row r="390" ht="15.75" customHeight="1" s="50"/>
    <row r="391" ht="15.75" customHeight="1" s="50"/>
    <row r="392" ht="15.75" customHeight="1" s="50"/>
    <row r="393" ht="15.75" customHeight="1" s="50"/>
    <row r="394" ht="15.75" customHeight="1" s="50"/>
    <row r="395" ht="15.75" customHeight="1" s="50"/>
    <row r="396" ht="15.75" customHeight="1" s="50"/>
    <row r="397" ht="15.75" customHeight="1" s="50"/>
    <row r="398" ht="15.75" customHeight="1" s="50"/>
    <row r="399" ht="15.75" customHeight="1" s="50"/>
    <row r="400" ht="15.75" customHeight="1" s="50"/>
    <row r="401" ht="15.75" customHeight="1" s="50"/>
    <row r="402" ht="15.75" customHeight="1" s="50"/>
    <row r="403" ht="15.75" customHeight="1" s="50"/>
    <row r="404" ht="15.75" customHeight="1" s="50"/>
    <row r="405" ht="15.75" customHeight="1" s="50"/>
    <row r="406" ht="15.75" customHeight="1" s="50"/>
    <row r="407" ht="15.75" customHeight="1" s="50"/>
    <row r="408" ht="15.75" customHeight="1" s="50"/>
    <row r="409" ht="15.75" customHeight="1" s="50"/>
    <row r="410" ht="15.75" customHeight="1" s="50"/>
    <row r="411" ht="15.75" customHeight="1" s="50"/>
    <row r="412" ht="15.75" customHeight="1" s="50"/>
    <row r="413" ht="15.75" customHeight="1" s="50"/>
    <row r="414" ht="15.75" customHeight="1" s="50"/>
    <row r="415" ht="15.75" customHeight="1" s="50"/>
    <row r="416" ht="15.75" customHeight="1" s="50"/>
    <row r="417" ht="15.75" customHeight="1" s="50"/>
    <row r="418" ht="15.75" customHeight="1" s="50"/>
    <row r="419" ht="15.75" customHeight="1" s="50"/>
    <row r="420" ht="15.75" customHeight="1" s="50"/>
    <row r="421" ht="15.75" customHeight="1" s="50"/>
    <row r="422" ht="15.75" customHeight="1" s="50"/>
    <row r="423" ht="15.75" customHeight="1" s="50"/>
    <row r="424" ht="15.75" customHeight="1" s="50"/>
    <row r="425" ht="15.75" customHeight="1" s="50"/>
    <row r="426" ht="15.75" customHeight="1" s="50"/>
    <row r="427" ht="15.75" customHeight="1" s="50"/>
    <row r="428" ht="15.75" customHeight="1" s="50"/>
    <row r="429" ht="15.75" customHeight="1" s="50"/>
    <row r="430" ht="15.75" customHeight="1" s="50"/>
    <row r="431" ht="15.75" customHeight="1" s="50"/>
    <row r="432" ht="15.75" customHeight="1" s="50"/>
    <row r="433" ht="15.75" customHeight="1" s="50"/>
    <row r="434" ht="15.75" customHeight="1" s="50"/>
    <row r="435" ht="15.75" customHeight="1" s="50"/>
    <row r="436" ht="15.75" customHeight="1" s="50"/>
    <row r="437" ht="15.75" customHeight="1" s="50"/>
    <row r="438" ht="15.75" customHeight="1" s="50"/>
    <row r="439" ht="15.75" customHeight="1" s="50"/>
    <row r="440" ht="15.75" customHeight="1" s="50"/>
    <row r="441" ht="15.75" customHeight="1" s="50"/>
    <row r="442" ht="15.75" customHeight="1" s="50"/>
    <row r="443" ht="15.75" customHeight="1" s="50"/>
    <row r="444" ht="15.75" customHeight="1" s="50"/>
    <row r="445" ht="15.75" customHeight="1" s="50"/>
    <row r="446" ht="15.75" customHeight="1" s="50"/>
    <row r="447" ht="15.75" customHeight="1" s="50"/>
    <row r="448" ht="15.75" customHeight="1" s="50"/>
    <row r="449" ht="15.75" customHeight="1" s="50"/>
    <row r="450" ht="15.75" customHeight="1" s="50"/>
    <row r="451" ht="15.75" customHeight="1" s="50"/>
    <row r="452" ht="15.75" customHeight="1" s="50"/>
    <row r="453" ht="15.75" customHeight="1" s="50"/>
    <row r="454" ht="15.75" customHeight="1" s="50"/>
    <row r="455" ht="15.75" customHeight="1" s="50"/>
    <row r="456" ht="15.75" customHeight="1" s="50"/>
    <row r="457" ht="15.75" customHeight="1" s="50"/>
    <row r="458" ht="15.75" customHeight="1" s="50"/>
    <row r="459" ht="15.75" customHeight="1" s="50"/>
    <row r="460" ht="15.75" customHeight="1" s="50"/>
    <row r="461" ht="15.75" customHeight="1" s="50"/>
    <row r="462" ht="15.75" customHeight="1" s="50"/>
    <row r="463" ht="15.75" customHeight="1" s="50"/>
    <row r="464" ht="15.75" customHeight="1" s="50"/>
    <row r="465" ht="15.75" customHeight="1" s="50"/>
    <row r="466" ht="15.75" customHeight="1" s="50"/>
    <row r="467" ht="15.75" customHeight="1" s="50"/>
    <row r="468" ht="15.75" customHeight="1" s="50"/>
    <row r="469" ht="15.75" customHeight="1" s="50"/>
    <row r="470" ht="15.75" customHeight="1" s="50"/>
    <row r="471" ht="15.75" customHeight="1" s="50"/>
    <row r="472" ht="15.75" customHeight="1" s="50"/>
    <row r="473" ht="15.75" customHeight="1" s="50"/>
    <row r="474" ht="15.75" customHeight="1" s="50"/>
    <row r="475" ht="15.75" customHeight="1" s="50"/>
    <row r="476" ht="15.75" customHeight="1" s="50"/>
    <row r="477" ht="15.75" customHeight="1" s="50"/>
    <row r="478" ht="15.75" customHeight="1" s="50"/>
    <row r="479" ht="15.75" customHeight="1" s="50"/>
    <row r="480" ht="15.75" customHeight="1" s="50"/>
    <row r="481" ht="15.75" customHeight="1" s="50"/>
    <row r="482" ht="15.75" customHeight="1" s="50"/>
    <row r="483" ht="15.75" customHeight="1" s="50"/>
    <row r="484" ht="15.75" customHeight="1" s="50"/>
    <row r="485" ht="15.75" customHeight="1" s="50"/>
    <row r="486" ht="15.75" customHeight="1" s="50"/>
    <row r="487" ht="15.75" customHeight="1" s="50"/>
    <row r="488" ht="15.75" customHeight="1" s="50"/>
    <row r="489" ht="15.75" customHeight="1" s="50"/>
    <row r="490" ht="15.75" customHeight="1" s="50"/>
    <row r="491" ht="15.75" customHeight="1" s="50"/>
    <row r="492" ht="15.75" customHeight="1" s="50"/>
    <row r="493" ht="15.75" customHeight="1" s="50"/>
    <row r="494" ht="15.75" customHeight="1" s="50"/>
    <row r="495" ht="15.75" customHeight="1" s="50"/>
    <row r="496" ht="15.75" customHeight="1" s="50"/>
    <row r="497" ht="15.75" customHeight="1" s="50"/>
    <row r="498" ht="15.75" customHeight="1" s="50"/>
    <row r="499" ht="15.75" customHeight="1" s="50"/>
    <row r="500" ht="15.75" customHeight="1" s="50"/>
    <row r="501" ht="15.75" customHeight="1" s="50"/>
    <row r="502" ht="15.75" customHeight="1" s="50"/>
    <row r="503" ht="15.75" customHeight="1" s="50"/>
    <row r="504" ht="15.75" customHeight="1" s="50"/>
    <row r="505" ht="15.75" customHeight="1" s="50"/>
    <row r="506" ht="15.75" customHeight="1" s="50"/>
    <row r="507" ht="15.75" customHeight="1" s="50"/>
    <row r="508" ht="15.75" customHeight="1" s="50"/>
    <row r="509" ht="15.75" customHeight="1" s="50"/>
    <row r="510" ht="15.75" customHeight="1" s="50"/>
    <row r="511" ht="15.75" customHeight="1" s="50"/>
    <row r="512" ht="15.75" customHeight="1" s="50"/>
    <row r="513" ht="15.75" customHeight="1" s="50"/>
    <row r="514" ht="15.75" customHeight="1" s="50"/>
    <row r="515" ht="15.75" customHeight="1" s="50"/>
    <row r="516" ht="15.75" customHeight="1" s="50"/>
    <row r="517" ht="15.75" customHeight="1" s="50"/>
    <row r="518" ht="15.75" customHeight="1" s="50"/>
    <row r="519" ht="15.75" customHeight="1" s="50"/>
    <row r="520" ht="15.75" customHeight="1" s="50"/>
    <row r="521" ht="15.75" customHeight="1" s="50"/>
    <row r="522" ht="15.75" customHeight="1" s="50"/>
    <row r="523" ht="15.75" customHeight="1" s="50"/>
    <row r="524" ht="15.75" customHeight="1" s="50"/>
    <row r="525" ht="15.75" customHeight="1" s="50"/>
    <row r="526" ht="15.75" customHeight="1" s="50"/>
    <row r="527" ht="15.75" customHeight="1" s="50"/>
    <row r="528" ht="15.75" customHeight="1" s="50"/>
    <row r="529" ht="15.75" customHeight="1" s="50"/>
    <row r="530" ht="15.75" customHeight="1" s="50"/>
    <row r="531" ht="15.75" customHeight="1" s="50"/>
    <row r="532" ht="15.75" customHeight="1" s="50"/>
    <row r="533" ht="15.75" customHeight="1" s="50"/>
    <row r="534" ht="15.75" customHeight="1" s="50"/>
    <row r="535" ht="15.75" customHeight="1" s="50"/>
    <row r="536" ht="15.75" customHeight="1" s="50"/>
    <row r="537" ht="15.75" customHeight="1" s="50"/>
    <row r="538" ht="15.75" customHeight="1" s="50"/>
    <row r="539" ht="15.75" customHeight="1" s="50"/>
    <row r="540" ht="15.75" customHeight="1" s="50"/>
    <row r="541" ht="15.75" customHeight="1" s="50"/>
    <row r="542" ht="15.75" customHeight="1" s="50"/>
    <row r="543" ht="15.75" customHeight="1" s="50"/>
    <row r="544" ht="15.75" customHeight="1" s="50"/>
    <row r="545" ht="15.75" customHeight="1" s="50"/>
    <row r="546" ht="15.75" customHeight="1" s="50"/>
    <row r="547" ht="15.75" customHeight="1" s="50"/>
    <row r="548" ht="15.75" customHeight="1" s="50"/>
    <row r="549" ht="15.75" customHeight="1" s="50"/>
    <row r="550" ht="15.75" customHeight="1" s="50"/>
    <row r="551" ht="15.75" customHeight="1" s="50"/>
    <row r="552" ht="15.75" customHeight="1" s="50"/>
    <row r="553" ht="15.75" customHeight="1" s="50"/>
    <row r="554" ht="15.75" customHeight="1" s="50"/>
    <row r="555" ht="15.75" customHeight="1" s="50"/>
    <row r="556" ht="15.75" customHeight="1" s="50"/>
    <row r="557" ht="15.75" customHeight="1" s="50"/>
    <row r="558" ht="15.75" customHeight="1" s="50"/>
    <row r="559" ht="15.75" customHeight="1" s="50"/>
    <row r="560" ht="15.75" customHeight="1" s="50"/>
    <row r="561" ht="15.75" customHeight="1" s="50"/>
    <row r="562" ht="15.75" customHeight="1" s="50"/>
    <row r="563" ht="15.75" customHeight="1" s="50"/>
    <row r="564" ht="15.75" customHeight="1" s="50"/>
    <row r="565" ht="15.75" customHeight="1" s="50"/>
    <row r="566" ht="15.75" customHeight="1" s="50"/>
    <row r="567" ht="15.75" customHeight="1" s="50"/>
    <row r="568" ht="15.75" customHeight="1" s="50"/>
    <row r="569" ht="15.75" customHeight="1" s="50"/>
    <row r="570" ht="15.75" customHeight="1" s="50"/>
    <row r="571" ht="15.75" customHeight="1" s="50"/>
    <row r="572" ht="15.75" customHeight="1" s="50"/>
    <row r="573" ht="15.75" customHeight="1" s="50"/>
    <row r="574" ht="15.75" customHeight="1" s="50"/>
    <row r="575" ht="15.75" customHeight="1" s="50"/>
    <row r="576" ht="15.75" customHeight="1" s="50"/>
    <row r="577" ht="15.75" customHeight="1" s="50"/>
    <row r="578" ht="15.75" customHeight="1" s="50"/>
    <row r="579" ht="15.75" customHeight="1" s="50"/>
    <row r="580" ht="15.75" customHeight="1" s="50"/>
    <row r="581" ht="15.75" customHeight="1" s="50"/>
    <row r="582" ht="15.75" customHeight="1" s="50"/>
    <row r="583" ht="15.75" customHeight="1" s="50"/>
    <row r="584" ht="15.75" customHeight="1" s="50"/>
    <row r="585" ht="15.75" customHeight="1" s="50"/>
    <row r="586" ht="15.75" customHeight="1" s="50"/>
    <row r="587" ht="15.75" customHeight="1" s="50"/>
    <row r="588" ht="15.75" customHeight="1" s="50"/>
    <row r="589" ht="15.75" customHeight="1" s="50"/>
    <row r="590" ht="15.75" customHeight="1" s="50"/>
    <row r="591" ht="15.75" customHeight="1" s="50"/>
    <row r="592" ht="15.75" customHeight="1" s="50"/>
    <row r="593" ht="15.75" customHeight="1" s="50"/>
    <row r="594" ht="15.75" customHeight="1" s="50"/>
    <row r="595" ht="15.75" customHeight="1" s="50"/>
    <row r="596" ht="15.75" customHeight="1" s="50"/>
    <row r="597" ht="15.75" customHeight="1" s="50"/>
    <row r="598" ht="15.75" customHeight="1" s="50"/>
    <row r="599" ht="15.75" customHeight="1" s="50"/>
    <row r="600" ht="15.75" customHeight="1" s="50"/>
    <row r="601" ht="15.75" customHeight="1" s="50"/>
    <row r="602" ht="15.75" customHeight="1" s="50"/>
    <row r="603" ht="15.75" customHeight="1" s="50"/>
    <row r="604" ht="15.75" customHeight="1" s="50"/>
    <row r="605" ht="15.75" customHeight="1" s="50"/>
    <row r="606" ht="15.75" customHeight="1" s="50"/>
    <row r="607" ht="15.75" customHeight="1" s="50"/>
    <row r="608" ht="15.75" customHeight="1" s="50"/>
    <row r="609" ht="15.75" customHeight="1" s="50"/>
    <row r="610" ht="15.75" customHeight="1" s="50"/>
    <row r="611" ht="15.75" customHeight="1" s="50"/>
    <row r="612" ht="15.75" customHeight="1" s="50"/>
    <row r="613" ht="15.75" customHeight="1" s="50"/>
    <row r="614" ht="15.75" customHeight="1" s="50"/>
    <row r="615" ht="15.75" customHeight="1" s="50"/>
    <row r="616" ht="15.75" customHeight="1" s="50"/>
    <row r="617" ht="15.75" customHeight="1" s="50"/>
    <row r="618" ht="15.75" customHeight="1" s="50"/>
    <row r="619" ht="15.75" customHeight="1" s="50"/>
    <row r="620" ht="15.75" customHeight="1" s="50"/>
    <row r="621" ht="15.75" customHeight="1" s="50"/>
    <row r="622" ht="15.75" customHeight="1" s="50"/>
    <row r="623" ht="15.75" customHeight="1" s="50"/>
    <row r="624" ht="15.75" customHeight="1" s="50"/>
    <row r="625" ht="15.75" customHeight="1" s="50"/>
    <row r="626" ht="15.75" customHeight="1" s="50"/>
    <row r="627" ht="15.75" customHeight="1" s="50"/>
    <row r="628" ht="15.75" customHeight="1" s="50"/>
    <row r="629" ht="15.75" customHeight="1" s="50"/>
    <row r="630" ht="15.75" customHeight="1" s="50"/>
    <row r="631" ht="15.75" customHeight="1" s="50"/>
    <row r="632" ht="15.75" customHeight="1" s="50"/>
    <row r="633" ht="15.75" customHeight="1" s="50"/>
    <row r="634" ht="15.75" customHeight="1" s="50"/>
    <row r="635" ht="15.75" customHeight="1" s="50"/>
    <row r="636" ht="15.75" customHeight="1" s="50"/>
    <row r="637" ht="15.75" customHeight="1" s="50"/>
    <row r="638" ht="15.75" customHeight="1" s="50"/>
    <row r="639" ht="15.75" customHeight="1" s="50"/>
    <row r="640" ht="15.75" customHeight="1" s="50"/>
    <row r="641" ht="15.75" customHeight="1" s="50"/>
    <row r="642" ht="15.75" customHeight="1" s="50"/>
    <row r="643" ht="15.75" customHeight="1" s="50"/>
    <row r="644" ht="15.75" customHeight="1" s="50"/>
    <row r="645" ht="15.75" customHeight="1" s="50"/>
    <row r="646" ht="15.75" customHeight="1" s="50"/>
    <row r="647" ht="15.75" customHeight="1" s="50"/>
    <row r="648" ht="15.75" customHeight="1" s="50"/>
    <row r="649" ht="15.75" customHeight="1" s="50"/>
    <row r="650" ht="15.75" customHeight="1" s="50"/>
    <row r="651" ht="15.75" customHeight="1" s="50"/>
    <row r="652" ht="15.75" customHeight="1" s="50"/>
    <row r="653" ht="15.75" customHeight="1" s="50"/>
    <row r="654" ht="15.75" customHeight="1" s="50"/>
    <row r="655" ht="15.75" customHeight="1" s="50"/>
    <row r="656" ht="15.75" customHeight="1" s="50"/>
    <row r="657" ht="15.75" customHeight="1" s="50"/>
    <row r="658" ht="15.75" customHeight="1" s="50"/>
    <row r="659" ht="15.75" customHeight="1" s="50"/>
    <row r="660" ht="15.75" customHeight="1" s="50"/>
    <row r="661" ht="15.75" customHeight="1" s="50"/>
    <row r="662" ht="15.75" customHeight="1" s="50"/>
    <row r="663" ht="15.75" customHeight="1" s="50"/>
    <row r="664" ht="15.75" customHeight="1" s="50"/>
    <row r="665" ht="15.75" customHeight="1" s="50"/>
    <row r="666" ht="15.75" customHeight="1" s="50"/>
    <row r="667" ht="15.75" customHeight="1" s="50"/>
    <row r="668" ht="15.75" customHeight="1" s="50"/>
    <row r="669" ht="15.75" customHeight="1" s="50"/>
    <row r="670" ht="15.75" customHeight="1" s="50"/>
    <row r="671" ht="15.75" customHeight="1" s="50"/>
    <row r="672" ht="15.75" customHeight="1" s="50"/>
    <row r="673" ht="15.75" customHeight="1" s="50"/>
    <row r="674" ht="15.75" customHeight="1" s="50"/>
    <row r="675" ht="15.75" customHeight="1" s="50"/>
    <row r="676" ht="15.75" customHeight="1" s="50"/>
    <row r="677" ht="15.75" customHeight="1" s="50"/>
    <row r="678" ht="15.75" customHeight="1" s="50"/>
    <row r="679" ht="15.75" customHeight="1" s="50"/>
    <row r="680" ht="15.75" customHeight="1" s="50"/>
    <row r="681" ht="15.75" customHeight="1" s="50"/>
    <row r="682" ht="15.75" customHeight="1" s="50"/>
    <row r="683" ht="15.75" customHeight="1" s="50"/>
    <row r="684" ht="15.75" customHeight="1" s="50"/>
    <row r="685" ht="15.75" customHeight="1" s="50"/>
    <row r="686" ht="15.75" customHeight="1" s="50"/>
    <row r="687" ht="15.75" customHeight="1" s="50"/>
    <row r="688" ht="15.75" customHeight="1" s="50"/>
    <row r="689" ht="15.75" customHeight="1" s="50"/>
    <row r="690" ht="15.75" customHeight="1" s="50"/>
    <row r="691" ht="15.75" customHeight="1" s="50"/>
    <row r="692" ht="15.75" customHeight="1" s="50"/>
    <row r="693" ht="15.75" customHeight="1" s="50"/>
    <row r="694" ht="15.75" customHeight="1" s="50"/>
    <row r="695" ht="15.75" customHeight="1" s="50"/>
    <row r="696" ht="15.75" customHeight="1" s="50"/>
    <row r="697" ht="15.75" customHeight="1" s="50"/>
    <row r="698" ht="15.75" customHeight="1" s="50"/>
    <row r="699" ht="15.75" customHeight="1" s="50"/>
    <row r="700" ht="15.75" customHeight="1" s="50"/>
    <row r="701" ht="15.75" customHeight="1" s="50"/>
    <row r="702" ht="15.75" customHeight="1" s="50"/>
    <row r="703" ht="15.75" customHeight="1" s="50"/>
    <row r="704" ht="15.75" customHeight="1" s="50"/>
    <row r="705" ht="15.75" customHeight="1" s="50"/>
    <row r="706" ht="15.75" customHeight="1" s="50"/>
    <row r="707" ht="15.75" customHeight="1" s="50"/>
    <row r="708" ht="15.75" customHeight="1" s="50"/>
    <row r="709" ht="15.75" customHeight="1" s="50"/>
    <row r="710" ht="15.75" customHeight="1" s="50"/>
    <row r="711" ht="15.75" customHeight="1" s="50"/>
    <row r="712" ht="15.75" customHeight="1" s="50"/>
    <row r="713" ht="15.75" customHeight="1" s="50"/>
    <row r="714" ht="15.75" customHeight="1" s="50"/>
    <row r="715" ht="15.75" customHeight="1" s="50"/>
    <row r="716" ht="15.75" customHeight="1" s="50"/>
    <row r="717" ht="15.75" customHeight="1" s="50"/>
    <row r="718" ht="15.75" customHeight="1" s="50"/>
    <row r="719" ht="15.75" customHeight="1" s="50"/>
    <row r="720" ht="15.75" customHeight="1" s="50"/>
    <row r="721" ht="15.75" customHeight="1" s="50"/>
    <row r="722" ht="15.75" customHeight="1" s="50"/>
    <row r="723" ht="15.75" customHeight="1" s="50"/>
    <row r="724" ht="15.75" customHeight="1" s="50"/>
    <row r="725" ht="15.75" customHeight="1" s="50"/>
    <row r="726" ht="15.75" customHeight="1" s="50"/>
    <row r="727" ht="15.75" customHeight="1" s="50"/>
    <row r="728" ht="15.75" customHeight="1" s="50"/>
    <row r="729" ht="15.75" customHeight="1" s="50"/>
    <row r="730" ht="15.75" customHeight="1" s="50"/>
    <row r="731" ht="15.75" customHeight="1" s="50"/>
    <row r="732" ht="15.75" customHeight="1" s="50"/>
    <row r="733" ht="15.75" customHeight="1" s="50"/>
    <row r="734" ht="15.75" customHeight="1" s="50"/>
    <row r="735" ht="15.75" customHeight="1" s="50"/>
    <row r="736" ht="15.75" customHeight="1" s="50"/>
    <row r="737" ht="15.75" customHeight="1" s="50"/>
    <row r="738" ht="15.75" customHeight="1" s="50"/>
    <row r="739" ht="15.75" customHeight="1" s="50"/>
    <row r="740" ht="15.75" customHeight="1" s="50"/>
    <row r="741" ht="15.75" customHeight="1" s="50"/>
    <row r="742" ht="15.75" customHeight="1" s="50"/>
    <row r="743" ht="15.75" customHeight="1" s="50"/>
    <row r="744" ht="15.75" customHeight="1" s="50"/>
    <row r="745" ht="15.75" customHeight="1" s="50"/>
    <row r="746" ht="15.75" customHeight="1" s="50"/>
    <row r="747" ht="15.75" customHeight="1" s="50"/>
    <row r="748" ht="15.75" customHeight="1" s="50"/>
    <row r="749" ht="15.75" customHeight="1" s="50"/>
    <row r="750" ht="15.75" customHeight="1" s="50"/>
    <row r="751" ht="15.75" customHeight="1" s="50"/>
    <row r="752" ht="15.75" customHeight="1" s="50"/>
    <row r="753" ht="15.75" customHeight="1" s="50"/>
    <row r="754" ht="15.75" customHeight="1" s="50"/>
    <row r="755" ht="15.75" customHeight="1" s="50"/>
    <row r="756" ht="15.75" customHeight="1" s="50"/>
    <row r="757" ht="15.75" customHeight="1" s="50"/>
    <row r="758" ht="15.75" customHeight="1" s="50"/>
    <row r="759" ht="15.75" customHeight="1" s="50"/>
    <row r="760" ht="15.75" customHeight="1" s="50"/>
    <row r="761" ht="15.75" customHeight="1" s="50"/>
    <row r="762" ht="15.75" customHeight="1" s="50"/>
    <row r="763" ht="15.75" customHeight="1" s="50"/>
    <row r="764" ht="15.75" customHeight="1" s="50"/>
    <row r="765" ht="15.75" customHeight="1" s="50"/>
    <row r="766" ht="15.75" customHeight="1" s="50"/>
    <row r="767" ht="15.75" customHeight="1" s="50"/>
    <row r="768" ht="15.75" customHeight="1" s="50"/>
    <row r="769" ht="15.75" customHeight="1" s="50"/>
    <row r="770" ht="15.75" customHeight="1" s="50"/>
    <row r="771" ht="15.75" customHeight="1" s="50"/>
    <row r="772" ht="15.75" customHeight="1" s="50"/>
    <row r="773" ht="15.75" customHeight="1" s="50"/>
    <row r="774" ht="15.75" customHeight="1" s="50"/>
    <row r="775" ht="15.75" customHeight="1" s="50"/>
    <row r="776" ht="15.75" customHeight="1" s="50"/>
    <row r="777" ht="15.75" customHeight="1" s="50"/>
    <row r="778" ht="15.75" customHeight="1" s="50"/>
    <row r="779" ht="15.75" customHeight="1" s="50"/>
    <row r="780" ht="15.75" customHeight="1" s="50"/>
    <row r="781" ht="15.75" customHeight="1" s="50"/>
    <row r="782" ht="15.75" customHeight="1" s="50"/>
    <row r="783" ht="15.75" customHeight="1" s="50"/>
    <row r="784" ht="15.75" customHeight="1" s="50"/>
    <row r="785" ht="15.75" customHeight="1" s="50"/>
    <row r="786" ht="15.75" customHeight="1" s="50"/>
    <row r="787" ht="15.75" customHeight="1" s="50"/>
    <row r="788" ht="15.75" customHeight="1" s="50"/>
    <row r="789" ht="15.75" customHeight="1" s="50"/>
    <row r="790" ht="15.75" customHeight="1" s="50"/>
    <row r="791" ht="15.75" customHeight="1" s="50"/>
    <row r="792" ht="15.75" customHeight="1" s="50"/>
    <row r="793" ht="15.75" customHeight="1" s="50"/>
    <row r="794" ht="15.75" customHeight="1" s="50"/>
    <row r="795" ht="15.75" customHeight="1" s="50"/>
    <row r="796" ht="15.75" customHeight="1" s="50"/>
    <row r="797" ht="15.75" customHeight="1" s="50"/>
    <row r="798" ht="15.75" customHeight="1" s="50"/>
    <row r="799" ht="15.75" customHeight="1" s="50"/>
    <row r="800" ht="15.75" customHeight="1" s="50"/>
    <row r="801" ht="15.75" customHeight="1" s="50"/>
    <row r="802" ht="15.75" customHeight="1" s="50"/>
    <row r="803" ht="15.75" customHeight="1" s="50"/>
    <row r="804" ht="15.75" customHeight="1" s="50"/>
    <row r="805" ht="15.75" customHeight="1" s="50"/>
    <row r="806" ht="15.75" customHeight="1" s="50"/>
    <row r="807" ht="15.75" customHeight="1" s="50"/>
    <row r="808" ht="15.75" customHeight="1" s="50"/>
    <row r="809" ht="15.75" customHeight="1" s="50"/>
    <row r="810" ht="15.75" customHeight="1" s="50"/>
    <row r="811" ht="15.75" customHeight="1" s="50"/>
    <row r="812" ht="15.75" customHeight="1" s="50"/>
    <row r="813" ht="15.75" customHeight="1" s="50"/>
    <row r="814" ht="15.75" customHeight="1" s="50"/>
    <row r="815" ht="15.75" customHeight="1" s="50"/>
    <row r="816" ht="15.75" customHeight="1" s="50"/>
    <row r="817" ht="15.75" customHeight="1" s="50"/>
    <row r="818" ht="15.75" customHeight="1" s="50"/>
    <row r="819" ht="15.75" customHeight="1" s="50"/>
    <row r="820" ht="15.75" customHeight="1" s="50"/>
    <row r="821" ht="15.75" customHeight="1" s="50"/>
    <row r="822" ht="15.75" customHeight="1" s="50"/>
    <row r="823" ht="15.75" customHeight="1" s="50"/>
    <row r="824" ht="15.75" customHeight="1" s="50"/>
    <row r="825" ht="15.75" customHeight="1" s="50"/>
    <row r="826" ht="15.75" customHeight="1" s="50"/>
    <row r="827" ht="15.75" customHeight="1" s="50"/>
    <row r="828" ht="15.75" customHeight="1" s="50"/>
    <row r="829" ht="15.75" customHeight="1" s="50"/>
    <row r="830" ht="15.75" customHeight="1" s="50"/>
    <row r="831" ht="15.75" customHeight="1" s="50"/>
    <row r="832" ht="15.75" customHeight="1" s="50"/>
    <row r="833" ht="15.75" customHeight="1" s="50"/>
    <row r="834" ht="15.75" customHeight="1" s="50"/>
    <row r="835" ht="15.75" customHeight="1" s="50"/>
    <row r="836" ht="15.75" customHeight="1" s="50"/>
    <row r="837" ht="15.75" customHeight="1" s="50"/>
    <row r="838" ht="15.75" customHeight="1" s="50"/>
    <row r="839" ht="15.75" customHeight="1" s="50"/>
    <row r="840" ht="15.75" customHeight="1" s="50"/>
    <row r="841" ht="15.75" customHeight="1" s="50"/>
    <row r="842" ht="15.75" customHeight="1" s="50"/>
    <row r="843" ht="15.75" customHeight="1" s="50"/>
    <row r="844" ht="15.75" customHeight="1" s="50"/>
    <row r="845" ht="15.75" customHeight="1" s="50"/>
    <row r="846" ht="15.75" customHeight="1" s="50"/>
    <row r="847" ht="15.75" customHeight="1" s="50"/>
    <row r="848" ht="15.75" customHeight="1" s="50"/>
    <row r="849" ht="15.75" customHeight="1" s="50"/>
    <row r="850" ht="15.75" customHeight="1" s="50"/>
    <row r="851" ht="15.75" customHeight="1" s="50"/>
    <row r="852" ht="15.75" customHeight="1" s="50"/>
    <row r="853" ht="15.75" customHeight="1" s="50"/>
    <row r="854" ht="15.75" customHeight="1" s="50"/>
    <row r="855" ht="15.75" customHeight="1" s="50"/>
    <row r="856" ht="15.75" customHeight="1" s="50"/>
    <row r="857" ht="15.75" customHeight="1" s="50"/>
    <row r="858" ht="15.75" customHeight="1" s="50"/>
    <row r="859" ht="15.75" customHeight="1" s="50"/>
    <row r="860" ht="15.75" customHeight="1" s="50"/>
    <row r="861" ht="15.75" customHeight="1" s="50"/>
    <row r="862" ht="15.75" customHeight="1" s="50"/>
    <row r="863" ht="15.75" customHeight="1" s="50"/>
    <row r="864" ht="15.75" customHeight="1" s="50"/>
    <row r="865" ht="15.75" customHeight="1" s="50"/>
    <row r="866" ht="15.75" customHeight="1" s="50"/>
    <row r="867" ht="15.75" customHeight="1" s="50"/>
    <row r="868" ht="15.75" customHeight="1" s="50"/>
    <row r="869" ht="15.75" customHeight="1" s="50"/>
    <row r="870" ht="15.75" customHeight="1" s="50"/>
    <row r="871" ht="15.75" customHeight="1" s="50"/>
    <row r="872" ht="15.75" customHeight="1" s="50"/>
    <row r="873" ht="15.75" customHeight="1" s="50"/>
    <row r="874" ht="15.75" customHeight="1" s="50"/>
    <row r="875" ht="15.75" customHeight="1" s="50"/>
    <row r="876" ht="15.75" customHeight="1" s="50"/>
    <row r="877" ht="15.75" customHeight="1" s="50"/>
    <row r="878" ht="15.75" customHeight="1" s="50"/>
    <row r="879" ht="15.75" customHeight="1" s="50"/>
    <row r="880" ht="15.75" customHeight="1" s="50"/>
    <row r="881" ht="15.75" customHeight="1" s="50"/>
    <row r="882" ht="15.75" customHeight="1" s="50"/>
    <row r="883" ht="15.75" customHeight="1" s="50"/>
    <row r="884" ht="15.75" customHeight="1" s="50"/>
    <row r="885" ht="15.75" customHeight="1" s="50"/>
    <row r="886" ht="15.75" customHeight="1" s="50"/>
    <row r="887" ht="15.75" customHeight="1" s="50"/>
    <row r="888" ht="15.75" customHeight="1" s="50"/>
    <row r="889" ht="15.75" customHeight="1" s="50"/>
    <row r="890" ht="15.75" customHeight="1" s="50"/>
    <row r="891" ht="15.75" customHeight="1" s="50"/>
    <row r="892" ht="15.75" customHeight="1" s="50"/>
    <row r="893" ht="15.75" customHeight="1" s="50"/>
    <row r="894" ht="15.75" customHeight="1" s="50"/>
    <row r="895" ht="15.75" customHeight="1" s="50"/>
    <row r="896" ht="15.75" customHeight="1" s="50"/>
    <row r="897" ht="15.75" customHeight="1" s="50"/>
    <row r="898" ht="15.75" customHeight="1" s="50"/>
    <row r="899" ht="15.75" customHeight="1" s="50"/>
    <row r="900" ht="15.75" customHeight="1" s="50"/>
    <row r="901" ht="15.75" customHeight="1" s="50"/>
    <row r="902" ht="15.75" customHeight="1" s="50"/>
    <row r="903" ht="15.75" customHeight="1" s="50"/>
    <row r="904" ht="15.75" customHeight="1" s="50"/>
    <row r="905" ht="15.75" customHeight="1" s="50"/>
    <row r="906" ht="15.75" customHeight="1" s="50"/>
    <row r="907" ht="15.75" customHeight="1" s="50"/>
    <row r="908" ht="15.75" customHeight="1" s="50"/>
    <row r="909" ht="15.75" customHeight="1" s="50"/>
    <row r="910" ht="15.75" customHeight="1" s="50"/>
    <row r="911" ht="15.75" customHeight="1" s="50"/>
    <row r="912" ht="15.75" customHeight="1" s="50"/>
    <row r="913" ht="15.75" customHeight="1" s="50"/>
    <row r="914" ht="15.75" customHeight="1" s="50"/>
    <row r="915" ht="15.75" customHeight="1" s="50"/>
    <row r="916" ht="15.75" customHeight="1" s="50"/>
    <row r="917" ht="15.75" customHeight="1" s="50"/>
    <row r="918" ht="15.75" customHeight="1" s="50"/>
    <row r="919" ht="15.75" customHeight="1" s="50"/>
    <row r="920" ht="15.75" customHeight="1" s="50"/>
    <row r="921" ht="15.75" customHeight="1" s="50"/>
    <row r="922" ht="15.75" customHeight="1" s="50"/>
    <row r="923" ht="15.75" customHeight="1" s="50"/>
    <row r="924" ht="15.75" customHeight="1" s="50"/>
    <row r="925" ht="15.75" customHeight="1" s="50"/>
    <row r="926" ht="15.75" customHeight="1" s="50"/>
    <row r="927" ht="15.75" customHeight="1" s="50"/>
    <row r="928" ht="15.75" customHeight="1" s="50"/>
    <row r="929" ht="15.75" customHeight="1" s="50"/>
    <row r="930" ht="15.75" customHeight="1" s="50"/>
    <row r="931" ht="15.75" customHeight="1" s="50"/>
    <row r="932" ht="15.75" customHeight="1" s="50"/>
    <row r="933" ht="15.75" customHeight="1" s="50"/>
    <row r="934" ht="15.75" customHeight="1" s="50"/>
    <row r="935" ht="15.75" customHeight="1" s="50"/>
    <row r="936" ht="15.75" customHeight="1" s="50"/>
    <row r="937" ht="15.75" customHeight="1" s="50"/>
    <row r="938" ht="15.75" customHeight="1" s="50"/>
    <row r="939" ht="15.75" customHeight="1" s="50"/>
    <row r="940" ht="15.75" customHeight="1" s="50"/>
    <row r="941" ht="15.75" customHeight="1" s="50"/>
    <row r="942" ht="15.75" customHeight="1" s="50"/>
    <row r="943" ht="15.75" customHeight="1" s="50"/>
    <row r="944" ht="15.75" customHeight="1" s="50"/>
    <row r="945" ht="15.75" customHeight="1" s="50"/>
    <row r="946" ht="15.75" customHeight="1" s="50"/>
    <row r="947" ht="15.75" customHeight="1" s="50"/>
    <row r="948" ht="15.75" customHeight="1" s="50"/>
    <row r="949" ht="15.75" customHeight="1" s="50"/>
    <row r="950" ht="15.75" customHeight="1" s="50"/>
    <row r="951" ht="15.75" customHeight="1" s="50"/>
    <row r="952" ht="15.75" customHeight="1" s="50"/>
    <row r="953" ht="15.75" customHeight="1" s="50"/>
    <row r="954" ht="15.75" customHeight="1" s="50"/>
    <row r="955" ht="15.75" customHeight="1" s="50"/>
    <row r="956" ht="15.75" customHeight="1" s="50"/>
    <row r="957" ht="15.75" customHeight="1" s="50"/>
    <row r="958" ht="15.75" customHeight="1" s="50"/>
    <row r="959" ht="15.75" customHeight="1" s="50"/>
    <row r="960" ht="15.75" customHeight="1" s="50"/>
    <row r="961" ht="15.75" customHeight="1" s="50"/>
    <row r="962" ht="15.75" customHeight="1" s="50"/>
    <row r="963" ht="15.75" customHeight="1" s="50"/>
    <row r="964" ht="15.75" customHeight="1" s="50"/>
    <row r="965" ht="15.75" customHeight="1" s="50"/>
    <row r="966" ht="15.75" customHeight="1" s="50"/>
    <row r="967" ht="15.75" customHeight="1" s="50"/>
    <row r="968" ht="15.75" customHeight="1" s="50"/>
    <row r="969" ht="15.75" customHeight="1" s="50"/>
    <row r="970" ht="15.75" customHeight="1" s="50"/>
    <row r="971" ht="15.75" customHeight="1" s="50"/>
    <row r="972" ht="15.75" customHeight="1" s="50"/>
    <row r="973" ht="15.75" customHeight="1" s="50"/>
    <row r="974" ht="15.75" customHeight="1" s="50"/>
    <row r="975" ht="15.75" customHeight="1" s="50"/>
    <row r="976" ht="15.75" customHeight="1" s="50"/>
    <row r="977" ht="15.75" customHeight="1" s="50"/>
    <row r="978" ht="15.75" customHeight="1" s="50"/>
    <row r="979" ht="15.75" customHeight="1" s="50"/>
    <row r="980" ht="15.75" customHeight="1" s="50"/>
    <row r="981" ht="15.75" customHeight="1" s="50"/>
    <row r="982" ht="15.75" customHeight="1" s="50"/>
    <row r="983" ht="15.75" customHeight="1" s="50"/>
    <row r="984" ht="15.75" customHeight="1" s="50"/>
    <row r="985" ht="15.75" customHeight="1" s="50"/>
    <row r="986" ht="15.75" customHeight="1" s="50"/>
    <row r="987" ht="15.75" customHeight="1" s="50"/>
    <row r="988" ht="15.75" customHeight="1" s="50"/>
    <row r="989" ht="15.75" customHeight="1" s="50"/>
    <row r="990" ht="15.75" customHeight="1" s="50"/>
    <row r="991" ht="15.75" customHeight="1" s="50"/>
    <row r="992" ht="15.75" customHeight="1" s="50"/>
    <row r="993" ht="15.75" customHeight="1" s="50"/>
    <row r="994" ht="15.75" customHeight="1" s="50"/>
    <row r="995" ht="15.75" customHeight="1" s="50"/>
    <row r="996" ht="15.75" customHeight="1" s="50"/>
    <row r="997" ht="15.75" customHeight="1" s="50"/>
    <row r="998" ht="15.75" customHeight="1" s="50"/>
    <row r="999" ht="15.75" customHeight="1" s="50"/>
    <row r="1000" ht="15.75" customHeight="1" s="50"/>
  </sheetData>
  <mergeCells count="4">
    <mergeCell ref="A1:D1"/>
    <mergeCell ref="A2:D2"/>
    <mergeCell ref="A4:D4"/>
    <mergeCell ref="A14:D14"/>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style="50" min="1" max="1"/>
    <col width="17" customWidth="1" style="50" min="2" max="2"/>
    <col width="15" customWidth="1" style="50" min="4" max="4"/>
    <col width="12" customWidth="1" style="50" min="5" max="5"/>
    <col width="54" customWidth="1" style="50" min="6" max="6"/>
  </cols>
  <sheetData>
    <row r="1" ht="15" customHeight="1" s="50">
      <c r="A1" s="72" t="inlineStr">
        <is>
          <t>COMPROBACIÓN  ·  verificación por segundo método</t>
        </is>
      </c>
    </row>
    <row r="2" ht="30" customHeight="1" s="50">
      <c r="A2" s="73" t="inlineStr">
        <is>
          <t>Cada renglón recalcula un resultado por una ruta distinta a la que usa la celda. No hay valores escritos a mano. Esta pestaña es del docente y no va en el archivo del alumno.</t>
        </is>
      </c>
    </row>
    <row r="4">
      <c r="A4" s="74" t="inlineStr">
        <is>
          <t>Qué se verifica</t>
        </is>
      </c>
      <c r="B4" s="74" t="inlineStr">
        <is>
          <t>Lo que hay</t>
        </is>
      </c>
      <c r="C4" s="74" t="inlineStr">
        <is>
          <t>Verificación</t>
        </is>
      </c>
      <c r="D4" s="74" t="inlineStr">
        <is>
          <t>Diferencia</t>
        </is>
      </c>
      <c r="E4" s="74" t="inlineStr">
        <is>
          <t>Estado</t>
        </is>
      </c>
      <c r="F4" s="74" t="inlineStr">
        <is>
          <t>Por qué camino se verifica</t>
        </is>
      </c>
    </row>
    <row r="5">
      <c r="A5" s="75" t="inlineStr">
        <is>
          <t>S02-Lab · ingreso del mes</t>
        </is>
      </c>
      <c r="B5" s="76">
        <f>'S02-Lab'!B25</f>
        <v/>
      </c>
      <c r="C5" s="76">
        <f>'S02-Lab'!B7*'S02-Lab'!B8*'S02-Lab'!B9*'S02-Lab'!B10</f>
        <v/>
      </c>
      <c r="D5" s="77">
        <f>B5-C5</f>
        <v/>
      </c>
      <c r="E5" s="78">
        <f>IF(ABS(D5)&lt;0.01,"OK","revisar")</f>
        <v/>
      </c>
      <c r="F5" s="79" t="inlineStr">
        <is>
          <t>los cuatro supuestos de un jalón, sin pasar por el ingreso diario ni el ingreso por mes</t>
        </is>
      </c>
    </row>
    <row r="6">
      <c r="A6" s="75" t="inlineStr">
        <is>
          <t>S02-Lab · Camino A (clientes nuevos)</t>
        </is>
      </c>
      <c r="B6" s="76">
        <f>'S02-Lab'!B30</f>
        <v/>
      </c>
      <c r="C6" s="76">
        <f>'S02-Lab'!B8*'S02-Lab'!B9*'S02-Lab'!B15</f>
        <v/>
      </c>
      <c r="D6" s="77">
        <f>B6-C6</f>
        <v/>
      </c>
      <c r="E6" s="78">
        <f>IF(ABS(D6)&lt;0.01,"OK","revisar")</f>
        <v/>
      </c>
      <c r="F6" s="79" t="inlineStr">
        <is>
          <t>usa que los días abiertos se cancelan algebraicamente: no pasa por B16</t>
        </is>
      </c>
    </row>
    <row r="7">
      <c r="A7" s="75" t="inlineStr">
        <is>
          <t>S02-Lab · Camino B (unidades por cliente)</t>
        </is>
      </c>
      <c r="B7" s="76">
        <f>'S02-Lab'!B31</f>
        <v/>
      </c>
      <c r="C7" s="76">
        <f>'S02-Lab'!B24*('S02-Lab'!B17/'S02-Lab'!B8)*'S02-Lab'!B10</f>
        <v/>
      </c>
      <c r="D7" s="77">
        <f>B7-C7</f>
        <v/>
      </c>
      <c r="E7" s="78">
        <f>IF(ABS(D7)&lt;0.01,"OK","revisar")</f>
        <v/>
      </c>
      <c r="F7" s="79" t="inlineStr">
        <is>
          <t>recalcula desde el ingreso por día, no desde los cuatro supuestos sueltos</t>
        </is>
      </c>
    </row>
    <row r="8">
      <c r="A8" s="75" t="inlineStr">
        <is>
          <t>S02-Lab · Camino C (días adicionales)</t>
        </is>
      </c>
      <c r="B8" s="76">
        <f>'S02-Lab'!B32</f>
        <v/>
      </c>
      <c r="C8" s="76">
        <f>'S02-Lab'!B23*'S02-Lab'!B9*'S02-Lab'!B18</f>
        <v/>
      </c>
      <c r="D8" s="77">
        <f>B8-C8</f>
        <v/>
      </c>
      <c r="E8" s="78">
        <f>IF(ABS(D8)&lt;0.01,"OK","revisar")</f>
        <v/>
      </c>
      <c r="F8" s="79" t="inlineStr">
        <is>
          <t>recalcula desde unidades por día, no desde los cuatro supuestos sueltos</t>
        </is>
      </c>
    </row>
    <row r="9">
      <c r="A9" s="75" t="inlineStr">
        <is>
          <t>S02-Lab · el mes con el Camino C</t>
        </is>
      </c>
      <c r="B9" s="76">
        <f>'S02-Lab'!B41</f>
        <v/>
      </c>
      <c r="C9" s="76">
        <f>'S02-Lab'!B24*('S02-Lab'!B10+'S02-Lab'!B18)</f>
        <v/>
      </c>
      <c r="D9" s="77">
        <f>B9-C9</f>
        <v/>
      </c>
      <c r="E9" s="78">
        <f>IF(ABS(D9)&lt;0.01,"OK","revisar")</f>
        <v/>
      </c>
      <c r="F9" s="79" t="inlineStr">
        <is>
          <t>ingreso por día por los días totales del mes, en vez de sumar el camino aparte</t>
        </is>
      </c>
    </row>
    <row r="10">
      <c r="A10" s="75" t="inlineStr">
        <is>
          <t>S02-Lab · sus supuestos vienen del Panel</t>
        </is>
      </c>
      <c r="B10" s="76">
        <f>'S02-Lab'!B7</f>
        <v/>
      </c>
      <c r="C10" s="76">
        <f>Panel!C8</f>
        <v/>
      </c>
      <c r="D10" s="77">
        <f>B10-C10</f>
        <v/>
      </c>
      <c r="E10" s="78">
        <f>IF(ABS(D10)&lt;0.01,"OK","revisar")</f>
        <v/>
      </c>
      <c r="F10" s="79" t="inlineStr">
        <is>
          <t>confirma que el enlace a Tu Negocio del Panel esté vivo, no copiado a mano</t>
        </is>
      </c>
    </row>
    <row r="11">
      <c r="A11" s="75" t="inlineStr">
        <is>
          <t>Panel · el mes, referente</t>
        </is>
      </c>
      <c r="B11" s="76">
        <f>Panel!F10</f>
        <v/>
      </c>
      <c r="C11" s="76">
        <f>Panel!B8*Panel!B9*Panel!B10*Panel!B11</f>
        <v/>
      </c>
      <c r="D11" s="77">
        <f>B11-C11</f>
        <v/>
      </c>
      <c r="E11" s="78">
        <f>IF(ABS(D11)&lt;0.01,"OK","revisar")</f>
        <v/>
      </c>
      <c r="F11" s="79" t="inlineStr">
        <is>
          <t>los cuatro supuestos del referente de un jalón, sin pasar por ingreso por día</t>
        </is>
      </c>
    </row>
    <row r="12">
      <c r="A12" s="75" t="inlineStr">
        <is>
          <t>Panel · el mes, tu negocio</t>
        </is>
      </c>
      <c r="B12" s="76">
        <f>Panel!G10</f>
        <v/>
      </c>
      <c r="C12" s="76">
        <f>Panel!C8*Panel!C9*Panel!C10*Panel!C11</f>
        <v/>
      </c>
      <c r="D12" s="77">
        <f>B12-C12</f>
        <v/>
      </c>
      <c r="E12" s="78">
        <f>IF(ABS(D12)&lt;0.01,"OK","revisar")</f>
        <v/>
      </c>
      <c r="F12" s="79" t="inlineStr">
        <is>
          <t>los cuatro supuestos de tu negocio de un jalón, sin pasar por ingreso por día</t>
        </is>
      </c>
    </row>
    <row r="13">
      <c r="A13" s="75" t="inlineStr">
        <is>
          <t>Panel · Camino A, referente</t>
        </is>
      </c>
      <c r="B13" s="76">
        <f>Panel!F13</f>
        <v/>
      </c>
      <c r="C13" s="76">
        <f>Panel!B9*Panel!B10*Panel!$B$13</f>
        <v/>
      </c>
      <c r="D13" s="77">
        <f>B13-C13</f>
        <v/>
      </c>
      <c r="E13" s="78">
        <f>IF(ABS(D13)&lt;0.01,"OK","revisar")</f>
        <v/>
      </c>
      <c r="F13" s="79" t="inlineStr">
        <is>
          <t>usa que los días abiertos se cancelan: no pasa por B11 ni por la división</t>
        </is>
      </c>
    </row>
    <row r="14">
      <c r="A14" s="75" t="inlineStr">
        <is>
          <t>Panel · Camino A, tu negocio</t>
        </is>
      </c>
      <c r="B14" s="76">
        <f>Panel!G13</f>
        <v/>
      </c>
      <c r="C14" s="76">
        <f>Panel!C9*Panel!C10*Panel!$B$13</f>
        <v/>
      </c>
      <c r="D14" s="77">
        <f>B14-C14</f>
        <v/>
      </c>
      <c r="E14" s="78">
        <f>IF(ABS(D14)&lt;0.01,"OK","revisar")</f>
        <v/>
      </c>
      <c r="F14" s="79" t="inlineStr">
        <is>
          <t>usa que los días abiertos se cancelan: no pasa por C11 ni por la división</t>
        </is>
      </c>
    </row>
    <row r="15">
      <c r="A15" s="75" t="n"/>
      <c r="B15" s="82" t="n"/>
      <c r="C15" s="82" t="n"/>
      <c r="D15" s="83" t="n"/>
      <c r="E15" s="84" t="n"/>
      <c r="F15" s="79" t="n"/>
    </row>
    <row r="17">
      <c r="A17" s="80" t="inlineStr">
        <is>
          <t>Resultado</t>
        </is>
      </c>
      <c r="B17" s="80">
        <f>COUNTIF(E5:E14,"OK")&amp;" de "&amp;COUNTA(E5:E14)&amp;" en orden"</f>
        <v/>
      </c>
      <c r="D17" s="81">
        <f>IF(COUNTIF(E5:E14,"revisar")&gt;0,"Hay algo que revisar.","Ninguna diferencia.")</f>
        <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2026-08-19T06:39:21Z</dcterms:created>
  <dcterms:modified xmlns:dcterms="http://purl.org/dc/terms/" xmlns:xsi="http://www.w3.org/2001/XMLSchema-instance" xsi:type="dcterms:W3CDTF">2026-08-19T07:07:37Z</dcterms:modified>
  <cp:lastModifiedBy>Omar Galdamez</cp:lastModifiedBy>
</cp:coreProperties>
</file>