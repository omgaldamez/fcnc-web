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usar este libro" sheetId="1" state="visible" r:id="rId3"/>
    <sheet name="Tu negocio" sheetId="2" state="visible" r:id="rId4"/>
    <sheet name="S01-Lab" sheetId="3" state="visible" r:id="rId5"/>
    <sheet name="S02-Lab" sheetId="4" state="visible" r:id="rId6"/>
    <sheet name="Comprobación" sheetId="5" state="visible" r:id="rId7"/>
    <sheet name="Vocabulario"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<sst xmlns="http://schemas.openxmlformats.org/spreadsheetml/2006/main" count="370" uniqueCount="271">
  <si>
    <t xml:space="preserve">FUNDAMENTOS CUANTITATIVOS PARA NEGOCIOS CREATIVOS  ·  MODELO DE TU NEGOCIO</t>
  </si>
  <si>
    <t xml:space="preserve">Un solo libro para las quince semanas. Cada laboratorio agrega una pestaña, no un archivo.</t>
  </si>
  <si>
    <t xml:space="preserve">POR QUÉ TODO VIVE EN EL MISMO ARCHIVO</t>
  </si>
  <si>
    <t xml:space="preserve">Porque un modelo no es una colección de ejercicios sueltos: es un negocio descrito con números que se van afinando. Si cada semana fuera un archivo aparte, cada semana empezarías de cero y no habría forma de preguntarle nada al conjunto. Aquí tus supuestos viven en un solo lugar, la pestaña «Tu negocio», y las pestañas de cada laboratorio los leen desde ahí. Cambia un supuesto y todo lo que dependa de él se recalcula solo, en todas las semanas a la vez. Eso es exactamente lo que hace un modelo, y es la razón de que valga la pena cargar un archivo que crece.</t>
  </si>
  <si>
    <t xml:space="preserve">CÓMO SE CONECTAN LAS PESTAÑAS</t>
  </si>
  <si>
    <t xml:space="preserve">Pestaña</t>
  </si>
  <si>
    <t xml:space="preserve">Qué contiene</t>
  </si>
  <si>
    <t xml:space="preserve">De dónde lee</t>
  </si>
  <si>
    <t xml:space="preserve">Para qué sirve</t>
  </si>
  <si>
    <t xml:space="preserve">Tu negocio</t>
  </si>
  <si>
    <t xml:space="preserve">Tus supuestos, uno por celda</t>
  </si>
  <si>
    <t xml:space="preserve">Lo escribes tú</t>
  </si>
  <si>
    <t xml:space="preserve">Es la única pestaña donde escribes supuestos. Todo lo demás los lee de aquí.</t>
  </si>
  <si>
    <t xml:space="preserve">S01-Lab</t>
  </si>
  <si>
    <t xml:space="preserve">Auditoría de la taquería</t>
  </si>
  <si>
    <t xml:space="preserve">No lee de nadie</t>
  </si>
  <si>
    <t xml:space="preserve">La hoja que se armó en clase, ya corregida. Se queda como está, es el registro de esa sesión.</t>
  </si>
  <si>
    <t xml:space="preserve">S02-Lab</t>
  </si>
  <si>
    <t xml:space="preserve">La cadena de «por cada» y las palancas</t>
  </si>
  <si>
    <t xml:space="preserve">Lee de «Tu negocio»</t>
  </si>
  <si>
    <t xml:space="preserve">El referente arriba, tu negocio abajo. Las celdas en verde oscuro son las que viajan desde la otra pestaña.</t>
  </si>
  <si>
    <t xml:space="preserve">Vocabulario</t>
  </si>
  <si>
    <t xml:space="preserve">Los términos de cada semana</t>
  </si>
  <si>
    <t xml:space="preserve">Se consulta, no se llena. Crece una sección por semana.</t>
  </si>
  <si>
    <t xml:space="preserve">CÓMO LEER LOS COLORES</t>
  </si>
  <si>
    <t xml:space="preserve">VERDE</t>
  </si>
  <si>
    <t xml:space="preserve">Celda que tú editas. Cámbiala y todo lo demás se recalcula solo.</t>
  </si>
  <si>
    <t xml:space="preserve">AZUL</t>
  </si>
  <si>
    <t xml:space="preserve">Dato reportado por la fuente. No lo cambies: es el terreno contra el que te comparas.</t>
  </si>
  <si>
    <t xml:space="preserve">GRIS</t>
  </si>
  <si>
    <t xml:space="preserve">Celda calculada por una fórmula. No escribas aquí, se sobrescribe la fórmula.</t>
  </si>
  <si>
    <t xml:space="preserve">TEXTO VERDE</t>
  </si>
  <si>
    <t xml:space="preserve">Celda que se lee de otra pestaña. Su valor no vive aquí: vive en «Tu negocio».</t>
  </si>
  <si>
    <t xml:space="preserve">Regla de oro: si una celda es gris o tiene el texto en verde, no escribas encima. Si necesitas otro número, cámbialo en la celda verde de donde sale. Es la diferencia entre fijar un número y calcularlo, que es justo lo que se nos escapó en el laboratorio de la Semana 1.</t>
  </si>
  <si>
    <t xml:space="preserve">TU NEGOCIO  ·  SUPUESTOS ACUMULADOS</t>
  </si>
  <si>
    <t xml:space="preserve">Esta es la única pestaña donde escribes supuestos. Todas las demás los leen de aquí.</t>
  </si>
  <si>
    <t xml:space="preserve">1  ·  LO QUE DECLARASTE EN S01-Lab</t>
  </si>
  <si>
    <t xml:space="preserve">Tu ficha de la Semana 1 describía el negocio con dos números. Se quedan aquí porque son la base contra la que vas a comprobar todo lo que agregues después.</t>
  </si>
  <si>
    <t xml:space="preserve">Supuesto</t>
  </si>
  <si>
    <t xml:space="preserve">Ejemplo · Café Andante</t>
  </si>
  <si>
    <t xml:space="preserve">Qué está diciendo este número</t>
  </si>
  <si>
    <t xml:space="preserve">Precio por unidad</t>
  </si>
  <si>
    <t xml:space="preserve">Cuánto cobras por una sola unidad de lo que vendes.</t>
  </si>
  <si>
    <t xml:space="preserve">Unidades vendidas por día</t>
  </si>
  <si>
    <t xml:space="preserve">Cuántas unidades salen en un día. Se cuentan unidades, no clientes.</t>
  </si>
  <si>
    <t xml:space="preserve">2  ·  LO QUE AGREGAS EN S02-Lab</t>
  </si>
  <si>
    <t xml:space="preserve">«Unidades por día» escondía dos supuestos distintos: cuánta gente entra y cuánto se lleva cada quien. Separarlos es lo que te deja mover uno sin mover el otro. Y los días abiertos dejan de ser 30 por inercia.</t>
  </si>
  <si>
    <t xml:space="preserve">Clientes por día</t>
  </si>
  <si>
    <t xml:space="preserve">Cuántas personas distintas compran en un día. Es una tasa: el segundo término es tiempo.</t>
  </si>
  <si>
    <t xml:space="preserve">Unidades por cada cliente</t>
  </si>
  <si>
    <t xml:space="preserve">Cuánto se lleva en promedio quien ya entró. Es una razón, se escribe 1.25 : 1.</t>
  </si>
  <si>
    <t xml:space="preserve">Días abiertos al mes</t>
  </si>
  <si>
    <t xml:space="preserve">Cuántos días al mes vendes de verdad. Si descansas, son menos de 30.</t>
  </si>
  <si>
    <t xml:space="preserve">3  ·  COMPROBACIÓN CONTRA S01-Lab</t>
  </si>
  <si>
    <t xml:space="preserve">Los dos supuestos nuevos, multiplicados, tienen que parecerse a las unidades por día que declaraste en la Semana 1. Si no se parecen, uno de los dos está mal puesto, y decir cuál es parte de tu justificación.</t>
  </si>
  <si>
    <t xml:space="preserve">Comprobación</t>
  </si>
  <si>
    <t xml:space="preserve">Cómo se lee</t>
  </si>
  <si>
    <t xml:space="preserve">Unidades por día que salen del tablero</t>
  </si>
  <si>
    <t xml:space="preserve">clientes por día × unidades por cada cliente</t>
  </si>
  <si>
    <t xml:space="preserve">Unidades por día que declaraste en S01-Lab</t>
  </si>
  <si>
    <t xml:space="preserve">viene del bloque 1 de esta misma pestaña</t>
  </si>
  <si>
    <t xml:space="preserve">Diferencia</t>
  </si>
  <si>
    <t xml:space="preserve">FUNDAMENTOS CUANTITATIVOS PARA NEGOCIOS CREATIVOS  ·  SEMANA 1</t>
  </si>
  <si>
    <t xml:space="preserve">Auditoría de un referente</t>
  </si>
  <si>
    <t xml:space="preserve">VERDE · celda que tú editas. Cámbiala y todo lo demás se recalcula solo.</t>
  </si>
  <si>
    <t xml:space="preserve">AZUL · dato reportado por la fuente. No lo cambies: es el terreno contra el que te comparas.</t>
  </si>
  <si>
    <t xml:space="preserve">GRIS · celda calculada por una fórmula. No escribas aquí, se sobrescribe la fórmula.</t>
  </si>
  <si>
    <t xml:space="preserve">1  ·  PISO, TU SUPUESTO Y TECHO</t>
  </si>
  <si>
    <t xml:space="preserve">El piso es el extremo bajo de ventas que reportan las fuentes ($100,000 al mes) y el techo el extremo alto ($300,000). Ninguno es una predicción: juntos marcan el terreno donde es razonable que caiga tu número. La ganancia se queda fija en 10% en las tres filas.</t>
  </si>
  <si>
    <t xml:space="preserve">Escenario</t>
  </si>
  <si>
    <t xml:space="preserve">Ventas mensuales</t>
  </si>
  <si>
    <t xml:space="preserve">Ganancia (% de las ventas)</t>
  </si>
  <si>
    <t xml:space="preserve">Ganancia por cada $100k</t>
  </si>
  <si>
    <t xml:space="preserve">Ingreso diario</t>
  </si>
  <si>
    <t xml:space="preserve">Ganancia diaria</t>
  </si>
  <si>
    <t xml:space="preserve">Diferencia vs tu supuesto</t>
  </si>
  <si>
    <t xml:space="preserve">Cómo se lee esa diferencia</t>
  </si>
  <si>
    <t xml:space="preserve">Piso</t>
  </si>
  <si>
    <t xml:space="preserve">Tu supuesto</t>
  </si>
  <si>
    <t xml:space="preserve">—</t>
  </si>
  <si>
    <t xml:space="preserve">Es la fila contra la que se comparan las otras dos.</t>
  </si>
  <si>
    <t xml:space="preserve">Techo</t>
  </si>
  <si>
    <t xml:space="preserve">El 10% es LINEAL: es el mismo porcentaje sin importar cuánto vendas, por eso está igual en las tres filas. Si vendes el doble ganas el doble, ni más ni menos. Fórmulas: ingreso diario = ventas del mes ÷ 30  ·  ganancia diaria = ingreso diario × 10%</t>
  </si>
  <si>
    <t xml:space="preserve">Sobre el signo de la columna F: la resta siempre es «esta fila menos tu supuesto». En el Piso sale NEGATIVO y eso es correcto, no es una pérdida: quiere decir que el piso deja menos al día que tu supuesto, o sea que estás por arriba del piso. En el Techo sale positivo porque el techo deja más que tú. Fíjate que las dos diferencias miden lo mismo, $333.33, porque tu supuesto quedó justo a la mitad.</t>
  </si>
  <si>
    <t xml:space="preserve">2  ·  COMPARACIÓN DE PALANCAS</t>
  </si>
  <si>
    <t xml:space="preserve">Dos caminos para subir tu ganancia diaria, los dos partiendo de tu supuesto. El Camino A sube las ventas y deja la ganancia en 10%. El Camino B hace lo contrario: mismas ventas, mejor ganancia.</t>
  </si>
  <si>
    <t xml:space="preserve">Punto de partida (tu supuesto)</t>
  </si>
  <si>
    <t xml:space="preserve">Es la fila contra la que se comparan los dos caminos.</t>
  </si>
  <si>
    <t xml:space="preserve">Camino A · vender más</t>
  </si>
  <si>
    <t xml:space="preserve">Ventas a medio camino entre tu supuesto y el techo reportado. La ganancia no se mueve.</t>
  </si>
  <si>
    <t xml:space="preserve">Camino B · ganar mejor</t>
  </si>
  <si>
    <t xml:space="preserve">La ganancia sube de 10% a 15%. Las ventas no se mueven.</t>
  </si>
  <si>
    <t xml:space="preserve">Con estos números gana el Camino B. La pregunta que sigue no la resuelve la hoja: ¿qué te cuesta menos en tu negocio, vender una cuarta parte más, o ganar 5 puntos más de cada venta que ya haces?</t>
  </si>
  <si>
    <t xml:space="preserve">S02-Lab  ·  DE LOS NÚMEROS A LA ESTRATEGIA</t>
  </si>
  <si>
    <t xml:space="preserve">Primero el referente (la taquería), después tu negocio. El mismo modelo aplicado dos veces.</t>
  </si>
  <si>
    <t xml:space="preserve">1  ·  LA CADENA DE «POR CADA» DE LA TAQUERÍA</t>
  </si>
  <si>
    <t xml:space="preserve">El ingreso mensual de la taquería no es un número suelto: es una cadena de proporciones encadenadas. Cada eslabón se puede mover por separado, y esa es toda la sesión de hoy.</t>
  </si>
  <si>
    <t xml:space="preserve">Valor</t>
  </si>
  <si>
    <t xml:space="preserve">Unidad</t>
  </si>
  <si>
    <t xml:space="preserve">Qué tipo de proporción es</t>
  </si>
  <si>
    <t xml:space="preserve">clientes por día</t>
  </si>
  <si>
    <t xml:space="preserve">Tasa: el segundo término mide tiempo.</t>
  </si>
  <si>
    <t xml:space="preserve">Tacos por cada cliente</t>
  </si>
  <si>
    <t xml:space="preserve">tacos por cliente</t>
  </si>
  <si>
    <t xml:space="preserve">Razón: se escribe 3.5 : 1 y el 1 casi siempre se omite.</t>
  </si>
  <si>
    <t xml:space="preserve">Precio del taco</t>
  </si>
  <si>
    <t xml:space="preserve">pesos por taco</t>
  </si>
  <si>
    <t xml:space="preserve">Razón: pesos por cada taco. Se queda fijo hoy para aislar el efecto de la proporción.</t>
  </si>
  <si>
    <t xml:space="preserve">días por mes</t>
  </si>
  <si>
    <t xml:space="preserve">Tasa. Es el único de los cuatro que puedes mover tú.</t>
  </si>
  <si>
    <t xml:space="preserve">Resultado</t>
  </si>
  <si>
    <t xml:space="preserve">Cómo se calcula</t>
  </si>
  <si>
    <t xml:space="preserve">Tacos por día</t>
  </si>
  <si>
    <t xml:space="preserve">clientes por día × tacos por cada cliente</t>
  </si>
  <si>
    <t xml:space="preserve">Ingreso por día</t>
  </si>
  <si>
    <t xml:space="preserve">tacos por día × precio del taco</t>
  </si>
  <si>
    <t xml:space="preserve">Ingreso por mes</t>
  </si>
  <si>
    <t xml:space="preserve">ingreso por día × días abiertos al mes</t>
  </si>
  <si>
    <t xml:space="preserve">2  ·  LAS TRES PALANCAS</t>
  </si>
  <si>
    <t xml:space="preserve">Cada camino empuja un eslabón distinto de la cadena, con el movimiento más chico que ese eslabón puede dar en la práctica. No hay medio cliente, y 0.1 tacos por cliente quiere decir que 1 de cada 10 pide uno extra.</t>
  </si>
  <si>
    <t xml:space="preserve">Camino</t>
  </si>
  <si>
    <t xml:space="preserve">Cuánto suma al mes</t>
  </si>
  <si>
    <t xml:space="preserve">De qué depende ese número</t>
  </si>
  <si>
    <t xml:space="preserve">Camino A · +1 cliente por día</t>
  </si>
  <si>
    <t xml:space="preserve">Un cliente más deja lo que se lleva un cliente, todos los días que abres. No cambia si mueves «clientes por día».</t>
  </si>
  <si>
    <t xml:space="preserve">Camino B · +0.1 tacos por cada cliente</t>
  </si>
  <si>
    <t xml:space="preserve">Esa décima se cobra en cada cliente que ya entra. No cambia si mueves «tacos por cada cliente».</t>
  </si>
  <si>
    <t xml:space="preserve">Camino C · +1 día abierto al mes</t>
  </si>
  <si>
    <t xml:space="preserve">Un día más vale lo que vende un día. No cambia si mueves «días abiertos al mes».</t>
  </si>
  <si>
    <t xml:space="preserve">El Camino C no compite con los otros dos. El mes tiene entre 28 y 31 días y ahí se acaba: es un recurso que se agota, no una proporción que se pueda seguir empujando. Por eso se mira aparte aunque su número sea el más grande.</t>
  </si>
  <si>
    <t xml:space="preserve">3  ·  EL PUNTO DE CRUCE</t>
  </si>
  <si>
    <t xml:space="preserve">A y B no siempre ganan lo mismo. Hay un número exacto de clientes donde empatan, y de ese número depende cuál de los dos es la métrica que importa hoy.</t>
  </si>
  <si>
    <t xml:space="preserve">Clientes por día donde A y B empatan</t>
  </si>
  <si>
    <t xml:space="preserve">La regla: clientes = 10 × tacos por cada cliente.</t>
  </si>
  <si>
    <t xml:space="preserve">¿De qué lado está esta taquería?</t>
  </si>
  <si>
    <t xml:space="preserve">4  ·  EL TAMAÑO DE CADA EMPUJÓN</t>
  </si>
  <si>
    <t xml:space="preserve">Antes de concluir nada, vale medir los dos empujones contra la base sobre la que caen. Son la unidad más chica de cada palanca, pero eso no los vuelve del mismo tamaño entre sí.</t>
  </si>
  <si>
    <t xml:space="preserve">Medida</t>
  </si>
  <si>
    <t xml:space="preserve">+1 cliente, sobre los clientes que ya hay</t>
  </si>
  <si>
    <t xml:space="preserve">1 entre 87.</t>
  </si>
  <si>
    <t xml:space="preserve">+0.1 tacos, sobre los tacos que ya se llevan</t>
  </si>
  <si>
    <t xml:space="preserve">0.1 entre 3.5.</t>
  </si>
  <si>
    <t xml:space="preserve">Cuántas veces más grande es el empujón de B</t>
  </si>
  <si>
    <t xml:space="preserve">el segundo entre el primero.</t>
  </si>
  <si>
    <t xml:space="preserve">Cuántas veces más rinde B que A, en pesos</t>
  </si>
  <si>
    <t xml:space="preserve">el Camino B entre el Camino A.</t>
  </si>
  <si>
    <t xml:space="preserve">Las dos últimas filas dan el mismo número. Que el Camino B rinda más del doble no es una virtud escondida de la taquería: es el tamaño del empujón. Un mismo movimiento absoluto no pesa igual en las dos palancas, y cuánto rinde depende de la base sobre la que cae. Por eso la métrica que importa cambia según en qué proporción esté parado el negocio.</t>
  </si>
  <si>
    <t xml:space="preserve">5  ·  ¿Y SI LOS DOS EMPUJONES FUERAN DE LA MISMA PROPORCIÓN?</t>
  </si>
  <si>
    <t xml:space="preserve">Cambia la celda verde y observa las dos filas de abajo. Prueba 1%, 5%, 20%.</t>
  </si>
  <si>
    <t xml:space="preserve">Tamaño del empujón</t>
  </si>
  <si>
    <t xml:space="preserve">La misma fracción se aplica a los dos caminos.</t>
  </si>
  <si>
    <t xml:space="preserve">Camino ajustado</t>
  </si>
  <si>
    <t xml:space="preserve">Qué se movió</t>
  </si>
  <si>
    <t xml:space="preserve">Camino A · más clientes, en esa proporción</t>
  </si>
  <si>
    <t xml:space="preserve">sube solo «clientes por día».</t>
  </si>
  <si>
    <t xml:space="preserve">Camino B · más tacos por cliente, en esa proporción</t>
  </si>
  <si>
    <t xml:space="preserve">sube solo «tacos por cada cliente».</t>
  </si>
  <si>
    <t xml:space="preserve">Diferencia entre los dos</t>
  </si>
  <si>
    <t xml:space="preserve">sale cero, y sigue saliendo cero con cualquier número que pongas arriba.</t>
  </si>
  <si>
    <t xml:space="preserve">No es un error de la hoja. Un empujón de la misma proporción multiplica la misma cadena, sin importar por cuál eslabón entres. Entonces la pregunta que sí decide no es cuál rinde más aquí, sino cuál de los dos empujones es más realista de conseguir en tu negocio.</t>
  </si>
  <si>
    <t xml:space="preserve">6  ·  TU TABLERO DE SUPUESTOS v1</t>
  </si>
  <si>
    <t xml:space="preserve">Las celdas en verde oscuro no se escriben aquí: se leen de la pestaña «Tu negocio». Si un número está mal, se corrige allá y esta pestaña se actualiza sola.</t>
  </si>
  <si>
    <t xml:space="preserve">De dónde viene</t>
  </si>
  <si>
    <t xml:space="preserve">pestaña «Tu negocio»</t>
  </si>
  <si>
    <t xml:space="preserve">Unidades por día</t>
  </si>
  <si>
    <t xml:space="preserve">unidades por día × precio por unidad</t>
  </si>
  <si>
    <t xml:space="preserve">Qué se mueve</t>
  </si>
  <si>
    <t xml:space="preserve">un cliente más, todos los días que abres.</t>
  </si>
  <si>
    <t xml:space="preserve">Camino B · +0.1 unidades por cliente</t>
  </si>
  <si>
    <t xml:space="preserve">una décima más en cada cliente que ya entra.</t>
  </si>
  <si>
    <t xml:space="preserve">la misma regla del bloque 3: clientes = 10 × unidades por cada cliente.</t>
  </si>
  <si>
    <t xml:space="preserve">Tu métrica que importa, según los números</t>
  </si>
  <si>
    <t xml:space="preserve">Que la hoja diga cuál gana no cierra la decisión. Falta la mitad que ningún número contesta: qué tan realista es mover esa palanca en tu negocio. Esa parte la escribes tú, en la app, y es la que cuenta en la rúbrica.</t>
  </si>
  <si>
    <t xml:space="preserve">COMPROBACIÓN  ·  ¿VA BIEN LA HOJA?</t>
  </si>
  <si>
    <t xml:space="preserve">Esta pestaña no se llena. Se mira. Dice qué falta por construir y si lo construido da lo que debe dar.</t>
  </si>
  <si>
    <t xml:space="preserve">1  ·  DE DÓNDE VENIMOS  ·  lo que quedó en S01-Lab</t>
  </si>
  <si>
    <t xml:space="preserve">La pestaña S01-Lab es la hoja de la semana pasada ya corregida. No se toca. Estos son sus tres resultados, leídos directamente de ahí: si aparecen, la pestaña está intacta.</t>
  </si>
  <si>
    <t xml:space="preserve">El triple de ventas da el triple de ganancia. Eso es que el 10% sea lineal.</t>
  </si>
  <si>
    <t xml:space="preserve">2  ·  LO QUE SE CONSTRUYE HOY  ·  trece celdas</t>
  </si>
  <si>
    <t xml:space="preserve">«Debe dar» es el resultado correcto de la taquería, que es igual para todos. Las cuatro conexiones y la cadena propia dependen de los números de cada quien, así que ahí solo se revisa que estén puestas.</t>
  </si>
  <si>
    <t xml:space="preserve">Bloque</t>
  </si>
  <si>
    <t xml:space="preserve">Celda</t>
  </si>
  <si>
    <t xml:space="preserve">Qué se escribe ahí</t>
  </si>
  <si>
    <t xml:space="preserve">Debe dar</t>
  </si>
  <si>
    <t xml:space="preserve">Lo que hay ahora</t>
  </si>
  <si>
    <t xml:space="preserve">Estado</t>
  </si>
  <si>
    <t xml:space="preserve">1 · Cadena de la taquería</t>
  </si>
  <si>
    <t xml:space="preserve">B13</t>
  </si>
  <si>
    <t xml:space="preserve">=B7*B8</t>
  </si>
  <si>
    <t xml:space="preserve">B14</t>
  </si>
  <si>
    <t xml:space="preserve">=B13*B9</t>
  </si>
  <si>
    <t xml:space="preserve">B15</t>
  </si>
  <si>
    <t xml:space="preserve">=B14*B10</t>
  </si>
  <si>
    <t xml:space="preserve">2 · Las tres palancas</t>
  </si>
  <si>
    <t xml:space="preserve">B20</t>
  </si>
  <si>
    <t xml:space="preserve">=B9*B8*B10</t>
  </si>
  <si>
    <t xml:space="preserve">B21</t>
  </si>
  <si>
    <t xml:space="preserve">=B9*B7*0.1*B10</t>
  </si>
  <si>
    <t xml:space="preserve">B22</t>
  </si>
  <si>
    <t xml:space="preserve">=B14</t>
  </si>
  <si>
    <t xml:space="preserve">6 · Conexión con tu negocio</t>
  </si>
  <si>
    <t xml:space="preserve">C51</t>
  </si>
  <si>
    <t xml:space="preserve">='Tu negocio'!C7</t>
  </si>
  <si>
    <t xml:space="preserve">lo que pusiste en Tu negocio</t>
  </si>
  <si>
    <t xml:space="preserve">C52</t>
  </si>
  <si>
    <t xml:space="preserve">='Tu negocio'!C13</t>
  </si>
  <si>
    <t xml:space="preserve">C53</t>
  </si>
  <si>
    <t xml:space="preserve">='Tu negocio'!C14</t>
  </si>
  <si>
    <t xml:space="preserve">C54</t>
  </si>
  <si>
    <t xml:space="preserve">='Tu negocio'!C15</t>
  </si>
  <si>
    <t xml:space="preserve">6 · Tu propia cadena</t>
  </si>
  <si>
    <t xml:space="preserve">C57</t>
  </si>
  <si>
    <t xml:space="preserve">=C52*C53</t>
  </si>
  <si>
    <t xml:space="preserve">depende de tus números</t>
  </si>
  <si>
    <t xml:space="preserve">C58</t>
  </si>
  <si>
    <t xml:space="preserve">=C57*C51</t>
  </si>
  <si>
    <t xml:space="preserve">C59</t>
  </si>
  <si>
    <t xml:space="preserve">=C58*C54</t>
  </si>
  <si>
    <t xml:space="preserve">Avance</t>
  </si>
  <si>
    <t xml:space="preserve">3  ·  CÓMO DEBE QUEDAR  ·  los números de la taquería</t>
  </si>
  <si>
    <t xml:space="preserve">Estos seis no dependen del negocio de nadie: son la taquería y salen iguales en todas las máquinas. Si alguno no coincide, la fórmula de esa celda apunta a la fila equivocada.</t>
  </si>
  <si>
    <t xml:space="preserve">Qué es</t>
  </si>
  <si>
    <t xml:space="preserve">Cómo comprobarlo a mano</t>
  </si>
  <si>
    <t xml:space="preserve">87 × 3.5</t>
  </si>
  <si>
    <t xml:space="preserve">304.5 × 22</t>
  </si>
  <si>
    <t xml:space="preserve">6,699 × 30</t>
  </si>
  <si>
    <t xml:space="preserve">Camino A · +1 cliente</t>
  </si>
  <si>
    <t xml:space="preserve">22 × 3.5 × 30</t>
  </si>
  <si>
    <t xml:space="preserve">Camino B · +0.1 tacos</t>
  </si>
  <si>
    <t xml:space="preserve">22 × 87 × 0.1 × 30</t>
  </si>
  <si>
    <t xml:space="preserve">Camino C · +1 día</t>
  </si>
  <si>
    <t xml:space="preserve">el ingreso de un día</t>
  </si>
  <si>
    <t xml:space="preserve">Punto de cruce</t>
  </si>
  <si>
    <t xml:space="preserve">10 × 3.5</t>
  </si>
  <si>
    <t xml:space="preserve">Cuántas veces rinde más B que A</t>
  </si>
  <si>
    <t xml:space="preserve">5,742 ÷ 2,310, y también 2.86% ÷ 1.15%</t>
  </si>
  <si>
    <t xml:space="preserve">Café Andante, por si alguien quiere comprobar el bloque 6 con el ejemplo: 30 unidades por día, $1,200 al día, $31,200 al mes, Camino A +$1,300, Camino B +$2,496, cruce en 12.5 clientes.</t>
  </si>
  <si>
    <t xml:space="preserve">VOCABULARIO ACUMULADO</t>
  </si>
  <si>
    <t xml:space="preserve">Las definiciones son las mismas del glosario de la app. Se consultan, no se reescriben.</t>
  </si>
  <si>
    <t xml:space="preserve">SEMANA 1  ·  ¿POR QUÉ LOS NÚMEROS?</t>
  </si>
  <si>
    <t xml:space="preserve">Término</t>
  </si>
  <si>
    <t xml:space="preserve">Definición</t>
  </si>
  <si>
    <t xml:space="preserve">Semana</t>
  </si>
  <si>
    <t xml:space="preserve">Categoría</t>
  </si>
  <si>
    <t xml:space="preserve">Dato</t>
  </si>
  <si>
    <t xml:space="preserve">Un valor concreto que se observa o se mide: cuánto cobra un competidor, cuántas personas pasan frente a un local en una hora, cuánto cuesta un insumo.</t>
  </si>
  <si>
    <t xml:space="preserve">1</t>
  </si>
  <si>
    <t xml:space="preserve">general</t>
  </si>
  <si>
    <t xml:space="preserve">Métrica</t>
  </si>
  <si>
    <t xml:space="preserve">El dato que sí importa seguir de cerca porque de él depende una decisión. No todos los datos son igual de importantes.</t>
  </si>
  <si>
    <t xml:space="preserve">Modelo</t>
  </si>
  <si>
    <t xml:space="preserve">Una versión simplificada de la realidad de un negocio que se usa para tomar una decisión concreta: cuánto cobrar, cuánta gente necesito, si el negocio se sostiene.</t>
  </si>
  <si>
    <t xml:space="preserve">Referente</t>
  </si>
  <si>
    <t xml:space="preserve">Un negocio que ya existe y que sirve de comparación. Sus números, aunque no sean exactos para tu caso, dan una primera idea de qué esperar.</t>
  </si>
  <si>
    <t xml:space="preserve">Algo que el modelo da por cierto sin haberlo confirmado todavía. Nombrarlo es lo que permite revisar el modelo después, cuando lleguen datos reales.</t>
  </si>
  <si>
    <t xml:space="preserve">El resultado más bajo que es razonable esperar, calculado usando el extremo conservador de lo que reportan negocios parecidos al tuyo. No es la predicción de un desastre ni el peor caso imaginable: es el borde de abajo del terreno donde tiene sentido que caiga tu número.</t>
  </si>
  <si>
    <t xml:space="preserve">El resultado más alto que es razonable esperar, calculado usando el extremo favorable de lo que reportan negocios parecidos al tuyo. Es el borde de arriba del mismo terreno que marca el piso, no una meta ni una promesa.</t>
  </si>
  <si>
    <t xml:space="preserve">SEMANA 2  ·  DE LOS NÚMEROS A LA ESTRATEGIA</t>
  </si>
  <si>
    <t xml:space="preserve">Proporción / razón</t>
  </si>
  <si>
    <t xml:space="preserve">La comparación entre dos cantidades que dice qué tanto corresponde de una por cada unidad de la otra: por ejemplo, tacos por cada cliente.</t>
  </si>
  <si>
    <t xml:space="preserve">2</t>
  </si>
  <si>
    <t xml:space="preserve">matematico</t>
  </si>
  <si>
    <t xml:space="preserve">Tasa</t>
  </si>
  <si>
    <t xml:space="preserve">Una proporción donde el segundo término es tiempo, como clientes por día o ventas por mes.</t>
  </si>
  <si>
    <t xml:space="preserve">La métrica que importa</t>
  </si>
  <si>
    <t xml:space="preserve">La palanca que, con los supuestos actuales del negocio, más mueve el resultado si se mueve ella. No es la única métrica del negocio, es la más sensible en un momento dado.</t>
  </si>
  <si>
    <t xml:space="preserve">negocio</t>
  </si>
  <si>
    <t xml:space="preserve">Palanca</t>
  </si>
  <si>
    <t xml:space="preserve">Un número del modelo que, al cambiarlo, cambia el resultado; distintas palancas mueven el resultado en distinta medida.</t>
  </si>
  <si>
    <t xml:space="preserve">Tablero de supuestos</t>
  </si>
  <si>
    <t xml:space="preserve">El conjunto de supuestos de un negocio puestos juntos y editables, para poder preguntar qué pasaría si alguno de esos números fuera distinto.</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</si>
</sst>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0.00"/>
    <numFmt numFmtId="169" formatCode="0%"/>
    <numFmt numFmtId="170" formatCode="0.00%"/>
    <numFmt numFmtId="171" formatCode="0.000\x"/>
    <numFmt numFmtId="172" formatCode="0.000\x"/>
  </numFmts>
  <fonts count="2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000000"/>
      <name val="Arial"/>
      <family val="0"/>
      <charset val="1"/>
    </font>
    <font>
      <sz val="9.5"/>
      <name val="Arial"/>
      <family val="0"/>
      <charset val="1"/>
    </font>
    <font>
      <b val="true"/>
      <sz val="9.5"/>
      <color rgb="FFFFFFFF"/>
      <name val="Arial"/>
      <family val="0"/>
      <charset val="1"/>
    </font>
    <font>
      <b val="true"/>
      <sz val="10"/>
      <color rgb="FF000000"/>
      <name val="Arial"/>
      <family val="0"/>
      <charset val="1"/>
    </font>
    <font>
      <sz val="9.5"/>
      <color rgb="FF000000"/>
      <name val="Arial"/>
      <family val="0"/>
      <charset val="1"/>
    </font>
    <font>
      <sz val="9"/>
      <color rgb="FF000000"/>
      <name val="Arial"/>
      <family val="0"/>
      <charset val="1"/>
    </font>
    <font>
      <b val="true"/>
      <sz val="10"/>
      <color rgb="FF008000"/>
      <name val="Arial"/>
      <family val="0"/>
      <charset val="1"/>
    </font>
    <font>
      <b val="true"/>
      <sz val="13"/>
      <color rgb="FF000000"/>
      <name val="Arial"/>
      <family val="0"/>
      <charset val="1"/>
    </font>
    <font>
      <b val="true"/>
      <sz val="10"/>
      <color rgb="FF2B579A"/>
      <name val="Arial"/>
      <family val="0"/>
      <charset val="1"/>
    </font>
    <font>
      <sz val="10"/>
      <name val="Arial"/>
      <family val="0"/>
      <charset val="1"/>
    </font>
    <font>
      <sz val="9"/>
      <name val="Arial"/>
      <family val="0"/>
      <charset val="1"/>
    </font>
    <font>
      <sz val="10"/>
      <color rgb="FF008000"/>
      <name val="Arial"/>
      <family val="0"/>
      <charset val="1"/>
    </font>
    <font>
      <b val="true"/>
      <sz val="10"/>
      <name val="Arial"/>
      <family val="0"/>
      <charset val="1"/>
    </font>
    <font>
      <b val="true"/>
      <sz val="9.5"/>
      <name val="Arial"/>
      <family val="0"/>
      <charset val="1"/>
    </font>
    <font>
      <b val="true"/>
      <sz val="11"/>
      <name val="Arial"/>
      <family val="0"/>
      <charset val="1"/>
    </font>
  </fonts>
  <fills count="8">
    <fill>
      <patternFill patternType="none"/>
    </fill>
    <fill>
      <patternFill patternType="gray125"/>
    </fill>
    <fill>
      <patternFill patternType="solid">
        <fgColor rgb="FF2B579A"/>
        <bgColor rgb="FF0066CC"/>
      </patternFill>
    </fill>
    <fill>
      <patternFill patternType="solid">
        <fgColor rgb="FFFFF8EC"/>
        <bgColor rgb="FFF3F3F3"/>
      </patternFill>
    </fill>
    <fill>
      <patternFill patternType="solid">
        <fgColor rgb="FFF3F3F3"/>
        <bgColor rgb="FFFFF8EC"/>
      </patternFill>
    </fill>
    <fill>
      <patternFill patternType="solid">
        <fgColor rgb="FFD9EAD3"/>
        <bgColor rgb="FFCFE2F3"/>
      </patternFill>
    </fill>
    <fill>
      <patternFill patternType="solid">
        <fgColor rgb="FFCFE2F3"/>
        <bgColor rgb="FFD9EAD3"/>
      </patternFill>
    </fill>
    <fill>
      <patternFill patternType="solid">
        <fgColor rgb="FFFCE5CD"/>
        <bgColor rgb="FFF3F3F3"/>
      </patternFill>
    </fill>
  </fills>
  <borders count="2">
    <border diagonalUp="false" diagonalDown="false">
      <left/>
      <right/>
      <top/>
      <bottom/>
      <diagonal/>
    </border>
    <border diagonalUp="false" diagonalDown="false">
      <left style="thin">
        <color rgb="FFC9CDD3"/>
      </left>
      <right style="thin">
        <color rgb="FFC9CDD3"/>
      </right>
      <top style="thin">
        <color rgb="FFC9CDD3"/>
      </top>
      <bottom style="thin">
        <color rgb="FFC9CD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false" applyAlignment="true" applyProtection="false">
      <alignment horizontal="general" vertical="center"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5" fillId="6" borderId="0" xfId="0" applyFont="true" applyBorder="false" applyAlignment="true" applyProtection="false">
      <alignment horizontal="general" vertical="center" textRotation="0" wrapText="false" indent="0" shrinkToFit="false"/>
      <protection locked="true" hidden="false"/>
    </xf>
    <xf numFmtId="165" fontId="5" fillId="5"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6" fontId="5" fillId="6" borderId="0" xfId="0" applyFont="true" applyBorder="false" applyAlignment="true" applyProtection="false">
      <alignment horizontal="general" vertical="center" textRotation="0" wrapText="false" indent="0" shrinkToFit="false"/>
      <protection locked="true" hidden="false"/>
    </xf>
    <xf numFmtId="166" fontId="5" fillId="5" borderId="0" xfId="0" applyFont="true" applyBorder="false" applyAlignment="true" applyProtection="false">
      <alignment horizontal="general" vertical="center" textRotation="0" wrapText="false" indent="0" shrinkToFit="false"/>
      <protection locked="true" hidden="false"/>
    </xf>
    <xf numFmtId="167" fontId="5" fillId="6" borderId="0" xfId="0" applyFont="true" applyBorder="false" applyAlignment="true" applyProtection="false">
      <alignment horizontal="general" vertical="center" textRotation="0" wrapText="false" indent="0" shrinkToFit="false"/>
      <protection locked="true" hidden="false"/>
    </xf>
    <xf numFmtId="167" fontId="5" fillId="5" borderId="0" xfId="0" applyFont="true" applyBorder="false" applyAlignment="true" applyProtection="false">
      <alignment horizontal="general" vertical="center" textRotation="0" wrapText="false" indent="0" shrinkToFit="false"/>
      <protection locked="true" hidden="false"/>
    </xf>
    <xf numFmtId="166" fontId="5" fillId="4"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8" fontId="14" fillId="6" borderId="1" xfId="0" applyFont="true" applyBorder="true" applyAlignment="true" applyProtection="false">
      <alignment horizontal="general" vertical="bottom" textRotation="0" wrapText="false" indent="0" shrinkToFit="false"/>
      <protection locked="true" hidden="false"/>
    </xf>
    <xf numFmtId="169" fontId="14" fillId="5" borderId="1" xfId="0" applyFont="true" applyBorder="true" applyAlignment="true" applyProtection="false">
      <alignment horizontal="center" vertical="bottom" textRotation="0" wrapText="false" indent="0" shrinkToFit="false"/>
      <protection locked="true" hidden="false"/>
    </xf>
    <xf numFmtId="168" fontId="14" fillId="4" borderId="1" xfId="0" applyFont="true" applyBorder="tru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14" fillId="5" borderId="1" xfId="0" applyFont="true" applyBorder="true" applyAlignment="true" applyProtection="false">
      <alignment horizontal="general" vertical="bottom" textRotation="0" wrapText="false" indent="0" shrinkToFit="false"/>
      <protection locked="true" hidden="false"/>
    </xf>
    <xf numFmtId="168" fontId="8" fillId="7"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bottom" textRotation="0" wrapText="false" indent="0" shrinkToFit="false"/>
      <protection locked="true" hidden="false"/>
    </xf>
    <xf numFmtId="169" fontId="14"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8" fontId="5" fillId="4"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8" fontId="8" fillId="4" borderId="0" xfId="0" applyFont="true" applyBorder="false" applyAlignment="true" applyProtection="false">
      <alignment horizontal="general" vertical="center" textRotation="0" wrapText="false" indent="0" shrinkToFit="false"/>
      <protection locked="true" hidden="false"/>
    </xf>
    <xf numFmtId="167" fontId="5" fillId="4"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true" applyAlignment="true" applyProtection="false">
      <alignment horizontal="general" vertical="center" textRotation="0" wrapText="true" indent="0" shrinkToFit="false"/>
      <protection locked="true" hidden="false"/>
    </xf>
    <xf numFmtId="170" fontId="5" fillId="4" borderId="0" xfId="0" applyFont="true" applyBorder="false" applyAlignment="true" applyProtection="false">
      <alignment horizontal="general" vertical="center" textRotation="0" wrapText="false" indent="0" shrinkToFit="false"/>
      <protection locked="true" hidden="false"/>
    </xf>
    <xf numFmtId="171" fontId="5" fillId="4" borderId="0" xfId="0" applyFont="true" applyBorder="false" applyAlignment="true" applyProtection="false">
      <alignment horizontal="general" vertical="center" textRotation="0" wrapText="false" indent="0" shrinkToFit="false"/>
      <protection locked="true" hidden="false"/>
    </xf>
    <xf numFmtId="170" fontId="5" fillId="5" borderId="0" xfId="0" applyFont="true" applyBorder="false" applyAlignment="true" applyProtection="false">
      <alignment horizontal="general" vertical="center" textRotation="0" wrapText="false" indent="0" shrinkToFit="false"/>
      <protection locked="true" hidden="false"/>
    </xf>
    <xf numFmtId="165" fontId="16" fillId="4" borderId="0" xfId="0" applyFont="true" applyBorder="false" applyAlignment="true" applyProtection="false">
      <alignment horizontal="general" vertical="center" textRotation="0" wrapText="false" indent="0" shrinkToFit="false"/>
      <protection locked="true" hidden="false"/>
    </xf>
    <xf numFmtId="166" fontId="16" fillId="4" borderId="0" xfId="0" applyFont="true" applyBorder="false" applyAlignment="true" applyProtection="false">
      <alignment horizontal="general" vertical="center" textRotation="0" wrapText="false" indent="0" shrinkToFit="false"/>
      <protection locked="true" hidden="false"/>
    </xf>
    <xf numFmtId="167" fontId="16" fillId="4"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8" fontId="6" fillId="4" borderId="0" xfId="0" applyFont="true" applyBorder="false" applyAlignment="true" applyProtection="false">
      <alignment horizontal="general" vertical="center" textRotation="0" wrapText="false" indent="0" shrinkToFit="false"/>
      <protection locked="true" hidden="false"/>
    </xf>
    <xf numFmtId="164" fontId="15" fillId="4"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7" fillId="4"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6" fontId="6" fillId="6" borderId="0" xfId="0" applyFont="true" applyBorder="false" applyAlignment="true" applyProtection="false">
      <alignment horizontal="general" vertical="center" textRotation="0" wrapText="false" indent="0" shrinkToFit="false"/>
      <protection locked="true" hidden="false"/>
    </xf>
    <xf numFmtId="166" fontId="6" fillId="4" borderId="0" xfId="0" applyFont="true" applyBorder="false" applyAlignment="true" applyProtection="false">
      <alignment horizontal="general" vertical="center" textRotation="0" wrapText="false" indent="0" shrinkToFit="false"/>
      <protection locked="true" hidden="false"/>
    </xf>
    <xf numFmtId="164" fontId="18" fillId="4" borderId="0" xfId="0" applyFont="true" applyBorder="false" applyAlignment="true" applyProtection="false">
      <alignment horizontal="general" vertical="center" textRotation="0" wrapText="false" indent="0" shrinkToFit="false"/>
      <protection locked="true" hidden="false"/>
    </xf>
    <xf numFmtId="168" fontId="6" fillId="6" borderId="0" xfId="0" applyFont="true" applyBorder="false" applyAlignment="true" applyProtection="false">
      <alignment horizontal="general" vertical="center" textRotation="0" wrapText="false" indent="0" shrinkToFit="false"/>
      <protection locked="true" hidden="false"/>
    </xf>
    <xf numFmtId="164" fontId="15" fillId="6"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9" fillId="5" borderId="0" xfId="0" applyFont="true" applyBorder="true" applyAlignment="true" applyProtection="false">
      <alignment horizontal="general"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7" fontId="6" fillId="6" borderId="0" xfId="0" applyFont="true" applyBorder="false" applyAlignment="true" applyProtection="false">
      <alignment horizontal="general" vertical="center" textRotation="0" wrapText="false" indent="0" shrinkToFit="false"/>
      <protection locked="true" hidden="false"/>
    </xf>
    <xf numFmtId="172" fontId="6" fillId="6"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DD3"/>
      <rgbColor rgb="FF808080"/>
      <rgbColor rgb="FF9999FF"/>
      <rgbColor rgb="FF993366"/>
      <rgbColor rgb="FFFFF8EC"/>
      <rgbColor rgb="FFF3F3F3"/>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B579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2"/>
    <col collapsed="false" customWidth="true" hidden="false" outlineLevel="0" max="4" min="4" style="1" width="62"/>
  </cols>
  <sheetData>
    <row r="1" customFormat="false" ht="24" hidden="false" customHeight="true" outlineLevel="0" collapsed="false">
      <c r="A1" s="2" t="s">
        <v>0</v>
      </c>
      <c r="B1" s="2"/>
      <c r="C1" s="2"/>
      <c r="D1" s="2"/>
    </row>
    <row r="2" customFormat="false" ht="19.5" hidden="false" customHeight="true" outlineLevel="0" collapsed="false">
      <c r="A2" s="3" t="s">
        <v>1</v>
      </c>
      <c r="B2" s="3"/>
      <c r="C2" s="3"/>
      <c r="D2" s="3"/>
    </row>
    <row r="4" customFormat="false" ht="24" hidden="false" customHeight="true" outlineLevel="0" collapsed="false">
      <c r="A4" s="2" t="s">
        <v>2</v>
      </c>
      <c r="B4" s="2"/>
      <c r="C4" s="2"/>
      <c r="D4" s="2"/>
    </row>
    <row r="5" customFormat="false" ht="75.75" hidden="false" customHeight="true" outlineLevel="0" collapsed="false">
      <c r="A5" s="4" t="s">
        <v>3</v>
      </c>
      <c r="B5" s="4"/>
      <c r="C5" s="4"/>
      <c r="D5" s="4"/>
    </row>
    <row r="7" customFormat="false" ht="24" hidden="false" customHeight="true" outlineLevel="0" collapsed="false">
      <c r="A7" s="2" t="s">
        <v>4</v>
      </c>
      <c r="B7" s="2"/>
      <c r="C7" s="2"/>
      <c r="D7" s="2"/>
    </row>
    <row r="8" customFormat="false" ht="30" hidden="false" customHeight="true" outlineLevel="0" collapsed="false">
      <c r="A8" s="5" t="s">
        <v>5</v>
      </c>
      <c r="B8" s="5" t="s">
        <v>6</v>
      </c>
      <c r="C8" s="5" t="s">
        <v>7</v>
      </c>
      <c r="D8" s="5" t="s">
        <v>8</v>
      </c>
    </row>
    <row r="9" customFormat="false" ht="33.75" hidden="false" customHeight="true" outlineLevel="0" collapsed="false">
      <c r="A9" s="6" t="s">
        <v>9</v>
      </c>
      <c r="B9" s="7" t="s">
        <v>10</v>
      </c>
      <c r="C9" s="7" t="s">
        <v>11</v>
      </c>
      <c r="D9" s="8" t="s">
        <v>12</v>
      </c>
    </row>
    <row r="10" customFormat="false" ht="33.75" hidden="false" customHeight="true" outlineLevel="0" collapsed="false">
      <c r="A10" s="6" t="s">
        <v>13</v>
      </c>
      <c r="B10" s="7" t="s">
        <v>14</v>
      </c>
      <c r="C10" s="7" t="s">
        <v>15</v>
      </c>
      <c r="D10" s="8" t="s">
        <v>16</v>
      </c>
    </row>
    <row r="11" customFormat="false" ht="33.75" hidden="false" customHeight="true" outlineLevel="0" collapsed="false">
      <c r="A11" s="6" t="s">
        <v>17</v>
      </c>
      <c r="B11" s="7" t="s">
        <v>18</v>
      </c>
      <c r="C11" s="7" t="s">
        <v>19</v>
      </c>
      <c r="D11" s="8" t="s">
        <v>20</v>
      </c>
    </row>
    <row r="12" customFormat="false" ht="33.75" hidden="false" customHeight="true" outlineLevel="0" collapsed="false">
      <c r="A12" s="6" t="s">
        <v>21</v>
      </c>
      <c r="B12" s="7" t="s">
        <v>22</v>
      </c>
      <c r="C12" s="7" t="s">
        <v>15</v>
      </c>
      <c r="D12" s="8" t="s">
        <v>23</v>
      </c>
    </row>
    <row r="14" customFormat="false" ht="24" hidden="false" customHeight="true" outlineLevel="0" collapsed="false">
      <c r="A14" s="2" t="s">
        <v>24</v>
      </c>
      <c r="B14" s="2"/>
      <c r="C14" s="2"/>
      <c r="D14" s="2"/>
    </row>
    <row r="15" customFormat="false" ht="21.75" hidden="false" customHeight="true" outlineLevel="0" collapsed="false">
      <c r="A15" s="9" t="s">
        <v>25</v>
      </c>
      <c r="B15" s="10" t="s">
        <v>26</v>
      </c>
      <c r="C15" s="10"/>
      <c r="D15" s="10"/>
    </row>
    <row r="16" customFormat="false" ht="21.75" hidden="false" customHeight="true" outlineLevel="0" collapsed="false">
      <c r="A16" s="11" t="s">
        <v>27</v>
      </c>
      <c r="B16" s="10" t="s">
        <v>28</v>
      </c>
      <c r="C16" s="10"/>
      <c r="D16" s="10"/>
    </row>
    <row r="17" customFormat="false" ht="21.75" hidden="false" customHeight="true" outlineLevel="0" collapsed="false">
      <c r="A17" s="12" t="s">
        <v>29</v>
      </c>
      <c r="B17" s="10" t="s">
        <v>30</v>
      </c>
      <c r="C17" s="10"/>
      <c r="D17" s="10"/>
    </row>
    <row r="18" customFormat="false" ht="21.75" hidden="false" customHeight="true" outlineLevel="0" collapsed="false">
      <c r="A18" s="13" t="s">
        <v>31</v>
      </c>
      <c r="B18" s="10" t="s">
        <v>32</v>
      </c>
      <c r="C18" s="10"/>
      <c r="D18" s="10"/>
    </row>
    <row r="20" customFormat="false" ht="48" hidden="false" customHeight="true" outlineLevel="0" collapsed="false">
      <c r="A20" s="4" t="s">
        <v>33</v>
      </c>
      <c r="B20" s="4"/>
      <c r="C20" s="4"/>
      <c r="D20" s="4"/>
    </row>
  </sheetData>
  <mergeCells count="11">
    <mergeCell ref="A1:D1"/>
    <mergeCell ref="A2:D2"/>
    <mergeCell ref="A4:D4"/>
    <mergeCell ref="A5:D5"/>
    <mergeCell ref="A7:D7"/>
    <mergeCell ref="A14:D14"/>
    <mergeCell ref="B15:D15"/>
    <mergeCell ref="B16:D16"/>
    <mergeCell ref="B17:D17"/>
    <mergeCell ref="B18:D18"/>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2"/>
    <col collapsed="false" customWidth="true" hidden="false" outlineLevel="0" max="4" min="4" style="1" width="60"/>
  </cols>
  <sheetData>
    <row r="1" customFormat="false" ht="24" hidden="false" customHeight="true" outlineLevel="0" collapsed="false">
      <c r="A1" s="2" t="s">
        <v>34</v>
      </c>
      <c r="B1" s="2"/>
      <c r="C1" s="2"/>
      <c r="D1" s="2"/>
    </row>
    <row r="2" customFormat="false" ht="19.5" hidden="false" customHeight="true" outlineLevel="0" collapsed="false">
      <c r="A2" s="3" t="s">
        <v>35</v>
      </c>
      <c r="B2" s="3"/>
      <c r="C2" s="3"/>
      <c r="D2" s="3"/>
    </row>
    <row r="4" customFormat="false" ht="24" hidden="false" customHeight="true" outlineLevel="0" collapsed="false">
      <c r="A4" s="2" t="s">
        <v>36</v>
      </c>
      <c r="B4" s="2"/>
      <c r="C4" s="2"/>
      <c r="D4" s="2"/>
    </row>
    <row r="5" customFormat="false" ht="33.75" hidden="false" customHeight="true" outlineLevel="0" collapsed="false">
      <c r="A5" s="4" t="s">
        <v>37</v>
      </c>
      <c r="B5" s="4"/>
      <c r="C5" s="4"/>
      <c r="D5" s="4"/>
    </row>
    <row r="6" customFormat="false" ht="30" hidden="false" customHeight="true" outlineLevel="0" collapsed="false">
      <c r="A6" s="5" t="s">
        <v>38</v>
      </c>
      <c r="B6" s="5" t="s">
        <v>39</v>
      </c>
      <c r="C6" s="5" t="s">
        <v>9</v>
      </c>
      <c r="D6" s="5" t="s">
        <v>40</v>
      </c>
    </row>
    <row r="7" customFormat="false" ht="25.5" hidden="false" customHeight="true" outlineLevel="0" collapsed="false">
      <c r="A7" s="14" t="s">
        <v>41</v>
      </c>
      <c r="B7" s="15" t="n">
        <v>40</v>
      </c>
      <c r="C7" s="16"/>
      <c r="D7" s="17" t="s">
        <v>42</v>
      </c>
    </row>
    <row r="8" customFormat="false" ht="25.5" hidden="false" customHeight="true" outlineLevel="0" collapsed="false">
      <c r="A8" s="14" t="s">
        <v>43</v>
      </c>
      <c r="B8" s="18" t="n">
        <v>30</v>
      </c>
      <c r="C8" s="19"/>
      <c r="D8" s="17" t="s">
        <v>44</v>
      </c>
    </row>
    <row r="10" customFormat="false" ht="24" hidden="false" customHeight="true" outlineLevel="0" collapsed="false">
      <c r="A10" s="2" t="s">
        <v>45</v>
      </c>
      <c r="B10" s="2"/>
      <c r="C10" s="2"/>
      <c r="D10" s="2"/>
    </row>
    <row r="11" customFormat="false" ht="33.75" hidden="false" customHeight="true" outlineLevel="0" collapsed="false">
      <c r="A11" s="4" t="s">
        <v>46</v>
      </c>
      <c r="B11" s="4"/>
      <c r="C11" s="4"/>
      <c r="D11" s="4"/>
    </row>
    <row r="12" customFormat="false" ht="30" hidden="false" customHeight="true" outlineLevel="0" collapsed="false">
      <c r="A12" s="5" t="s">
        <v>38</v>
      </c>
      <c r="B12" s="5" t="s">
        <v>39</v>
      </c>
      <c r="C12" s="5" t="s">
        <v>9</v>
      </c>
      <c r="D12" s="5" t="s">
        <v>40</v>
      </c>
    </row>
    <row r="13" customFormat="false" ht="25.5" hidden="false" customHeight="true" outlineLevel="0" collapsed="false">
      <c r="A13" s="14" t="s">
        <v>47</v>
      </c>
      <c r="B13" s="18" t="n">
        <v>24</v>
      </c>
      <c r="C13" s="19"/>
      <c r="D13" s="17" t="s">
        <v>48</v>
      </c>
    </row>
    <row r="14" customFormat="false" ht="25.5" hidden="false" customHeight="true" outlineLevel="0" collapsed="false">
      <c r="A14" s="14" t="s">
        <v>49</v>
      </c>
      <c r="B14" s="18" t="n">
        <v>1.25</v>
      </c>
      <c r="C14" s="19"/>
      <c r="D14" s="17" t="s">
        <v>50</v>
      </c>
    </row>
    <row r="15" customFormat="false" ht="25.5" hidden="false" customHeight="true" outlineLevel="0" collapsed="false">
      <c r="A15" s="14" t="s">
        <v>51</v>
      </c>
      <c r="B15" s="20" t="n">
        <v>26</v>
      </c>
      <c r="C15" s="21"/>
      <c r="D15" s="17" t="s">
        <v>52</v>
      </c>
    </row>
    <row r="17" customFormat="false" ht="24" hidden="false" customHeight="true" outlineLevel="0" collapsed="false">
      <c r="A17" s="2" t="s">
        <v>53</v>
      </c>
      <c r="B17" s="2"/>
      <c r="C17" s="2"/>
      <c r="D17" s="2"/>
    </row>
    <row r="18" customFormat="false" ht="33.75" hidden="false" customHeight="true" outlineLevel="0" collapsed="false">
      <c r="A18" s="4" t="s">
        <v>54</v>
      </c>
      <c r="B18" s="4"/>
      <c r="C18" s="4"/>
      <c r="D18" s="4"/>
    </row>
    <row r="19" customFormat="false" ht="30" hidden="false" customHeight="true" outlineLevel="0" collapsed="false">
      <c r="A19" s="5" t="s">
        <v>55</v>
      </c>
      <c r="B19" s="5" t="s">
        <v>39</v>
      </c>
      <c r="C19" s="5" t="s">
        <v>9</v>
      </c>
      <c r="D19" s="5" t="s">
        <v>56</v>
      </c>
    </row>
    <row r="20" customFormat="false" ht="30" hidden="false" customHeight="true" outlineLevel="0" collapsed="false">
      <c r="A20" s="14" t="s">
        <v>57</v>
      </c>
      <c r="B20" s="22" t="n">
        <f aca="false">B13*B14</f>
        <v>30</v>
      </c>
      <c r="C20" s="22" t="n">
        <f aca="false">C13*C14</f>
        <v>0</v>
      </c>
      <c r="D20" s="17" t="s">
        <v>58</v>
      </c>
    </row>
    <row r="21" customFormat="false" ht="30" hidden="false" customHeight="true" outlineLevel="0" collapsed="false">
      <c r="A21" s="14" t="s">
        <v>59</v>
      </c>
      <c r="B21" s="22" t="n">
        <f aca="false">B8</f>
        <v>30</v>
      </c>
      <c r="C21" s="22" t="n">
        <f aca="false">C8</f>
        <v>0</v>
      </c>
      <c r="D21" s="17" t="s">
        <v>60</v>
      </c>
    </row>
    <row r="22" customFormat="false" ht="30" hidden="false" customHeight="true" outlineLevel="0" collapsed="false">
      <c r="A22" s="14" t="s">
        <v>61</v>
      </c>
      <c r="B22" s="22" t="n">
        <f aca="false">B20-B21</f>
        <v>0</v>
      </c>
      <c r="C22" s="22" t="n">
        <f aca="false">C20-C21</f>
        <v>0</v>
      </c>
      <c r="D22" s="8" t="str">
        <f aca="false">IF(C21=0,"Todavía no has llenado tus supuestos.",IF(ABS(C22)&lt;=C21*0.15,"Se parecen: los dos supuestos son consistentes con lo que declaraste en la Semana 1.","No se parecen. Revisa cuál de los dos supuestos nuevos está mal puesto y dilo en tu justificación."))</f>
        <v>Todavía no has llenado tus supuestos.</v>
      </c>
    </row>
  </sheetData>
  <mergeCells count="8">
    <mergeCell ref="A1:D1"/>
    <mergeCell ref="A2:D2"/>
    <mergeCell ref="A4:D4"/>
    <mergeCell ref="A5:D5"/>
    <mergeCell ref="A10:D10"/>
    <mergeCell ref="A11:D11"/>
    <mergeCell ref="A17:D17"/>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true" showOutlineSymbols="true" defaultGridColor="true" view="normal" topLeftCell="A10" colorId="64" zoomScale="100" zoomScaleNormal="100" zoomScalePageLayoutView="100" workbookViewId="0">
      <selection pane="topLeft" activeCell="I11" activeCellId="0" sqref="I11"/>
    </sheetView>
  </sheetViews>
  <sheetFormatPr defaultColWidth="8.6796875" defaultRowHeight="14.25" zeroHeight="false" outlineLevelRow="0" outlineLevelCol="0"/>
  <cols>
    <col collapsed="false" customWidth="true" hidden="false" outlineLevel="0" max="1" min="1" style="1" width="29"/>
    <col collapsed="false" customWidth="true" hidden="false" outlineLevel="0" max="2" min="2" style="1" width="17"/>
    <col collapsed="false" customWidth="true" hidden="false" outlineLevel="0" max="4" min="3" style="1" width="18"/>
    <col collapsed="false" customWidth="true" hidden="false" outlineLevel="0" max="6" min="5" style="1" width="15"/>
    <col collapsed="false" customWidth="true" hidden="false" outlineLevel="0" max="7" min="7" style="1" width="20"/>
    <col collapsed="false" customWidth="true" hidden="false" outlineLevel="0" max="8" min="8" style="1" width="44"/>
  </cols>
  <sheetData>
    <row r="1" customFormat="false" ht="24" hidden="false" customHeight="true" outlineLevel="0" collapsed="false">
      <c r="A1" s="23" t="s">
        <v>62</v>
      </c>
      <c r="B1" s="23"/>
      <c r="C1" s="23"/>
      <c r="D1" s="23"/>
      <c r="E1" s="23"/>
      <c r="F1" s="23"/>
      <c r="G1" s="23"/>
      <c r="H1" s="23"/>
    </row>
    <row r="2" customFormat="false" ht="16.5" hidden="false" customHeight="true" outlineLevel="0" collapsed="false">
      <c r="A2" s="24" t="s">
        <v>63</v>
      </c>
      <c r="B2" s="24"/>
      <c r="C2" s="24"/>
      <c r="D2" s="24"/>
      <c r="E2" s="24"/>
      <c r="F2" s="24"/>
      <c r="G2" s="24"/>
      <c r="H2" s="24"/>
    </row>
    <row r="4" customFormat="false" ht="14.25" hidden="false" customHeight="true" outlineLevel="0" collapsed="false">
      <c r="A4" s="25" t="s">
        <v>24</v>
      </c>
      <c r="B4" s="25"/>
      <c r="C4" s="25"/>
      <c r="D4" s="25"/>
      <c r="E4" s="25"/>
      <c r="F4" s="25"/>
      <c r="G4" s="25"/>
      <c r="H4" s="25"/>
    </row>
    <row r="5" customFormat="false" ht="14.25" hidden="false" customHeight="true" outlineLevel="0" collapsed="false">
      <c r="A5" s="26"/>
      <c r="B5" s="27" t="s">
        <v>64</v>
      </c>
      <c r="C5" s="27"/>
      <c r="D5" s="27"/>
      <c r="E5" s="27"/>
      <c r="F5" s="27"/>
      <c r="G5" s="27"/>
      <c r="H5" s="27"/>
    </row>
    <row r="6" customFormat="false" ht="14.25" hidden="false" customHeight="true" outlineLevel="0" collapsed="false">
      <c r="A6" s="28"/>
      <c r="B6" s="27" t="s">
        <v>65</v>
      </c>
      <c r="C6" s="27"/>
      <c r="D6" s="27"/>
      <c r="E6" s="27"/>
      <c r="F6" s="27"/>
      <c r="G6" s="27"/>
      <c r="H6" s="27"/>
    </row>
    <row r="7" customFormat="false" ht="14.25" hidden="false" customHeight="true" outlineLevel="0" collapsed="false">
      <c r="A7" s="29"/>
      <c r="B7" s="27" t="s">
        <v>66</v>
      </c>
      <c r="C7" s="27"/>
      <c r="D7" s="27"/>
      <c r="E7" s="27"/>
      <c r="F7" s="27"/>
      <c r="G7" s="27"/>
      <c r="H7" s="27"/>
    </row>
    <row r="9" customFormat="false" ht="14.25" hidden="false" customHeight="true" outlineLevel="0" collapsed="false">
      <c r="A9" s="30" t="s">
        <v>67</v>
      </c>
      <c r="B9" s="30"/>
      <c r="C9" s="30"/>
      <c r="D9" s="30"/>
      <c r="E9" s="30"/>
      <c r="F9" s="30"/>
      <c r="G9" s="30"/>
      <c r="H9" s="30"/>
    </row>
    <row r="10" customFormat="false" ht="37.5" hidden="false" customHeight="true" outlineLevel="0" collapsed="false">
      <c r="A10" s="31" t="s">
        <v>68</v>
      </c>
      <c r="B10" s="31"/>
      <c r="C10" s="31"/>
      <c r="D10" s="31"/>
      <c r="E10" s="31"/>
      <c r="F10" s="31"/>
      <c r="G10" s="31"/>
      <c r="H10" s="31"/>
    </row>
    <row r="11" customFormat="false" ht="31.5" hidden="false" customHeight="true" outlineLevel="0" collapsed="false">
      <c r="A11" s="32" t="s">
        <v>69</v>
      </c>
      <c r="B11" s="32" t="s">
        <v>70</v>
      </c>
      <c r="C11" s="32" t="s">
        <v>71</v>
      </c>
      <c r="D11" s="32" t="s">
        <v>72</v>
      </c>
      <c r="E11" s="32" t="s">
        <v>73</v>
      </c>
      <c r="F11" s="32" t="s">
        <v>74</v>
      </c>
      <c r="G11" s="32" t="s">
        <v>75</v>
      </c>
      <c r="H11" s="32" t="s">
        <v>76</v>
      </c>
    </row>
    <row r="12" customFormat="false" ht="30" hidden="false" customHeight="true" outlineLevel="0" collapsed="false">
      <c r="A12" s="28" t="s">
        <v>77</v>
      </c>
      <c r="B12" s="33" t="n">
        <v>100000</v>
      </c>
      <c r="C12" s="34" t="n">
        <v>0.1</v>
      </c>
      <c r="D12" s="35" t="n">
        <f aca="false">B12*C12</f>
        <v>10000</v>
      </c>
      <c r="E12" s="35" t="n">
        <f aca="false">B12/30</f>
        <v>3333.33333333333</v>
      </c>
      <c r="F12" s="35" t="n">
        <f aca="false">E12*C12</f>
        <v>333.333333333333</v>
      </c>
      <c r="G12" s="35" t="n">
        <f aca="false">F12-$F$13</f>
        <v>-333.333333333333</v>
      </c>
      <c r="H12" s="36" t="str">
        <f aca="false">IF(G12&lt;0,"Este escenario deja MENOS al día que tu supuesto. Estar por arriba de él es buena señal.",IF(G12&gt;0,"Este escenario deja MÁS al día que tu supuesto: tu supuesto se queda corto frente a él.","Igual que tu supuesto."))</f>
        <v>Este escenario deja MENOS al día que tu supuesto. Estar por arriba de él es buena señal.</v>
      </c>
    </row>
    <row r="13" customFormat="false" ht="30" hidden="false" customHeight="true" outlineLevel="0" collapsed="false">
      <c r="A13" s="37" t="s">
        <v>78</v>
      </c>
      <c r="B13" s="38" t="n">
        <v>200000</v>
      </c>
      <c r="C13" s="34" t="n">
        <v>0.1</v>
      </c>
      <c r="D13" s="35" t="n">
        <f aca="false">B13*C13</f>
        <v>20000</v>
      </c>
      <c r="E13" s="35" t="n">
        <f aca="false">B13/30</f>
        <v>6666.66666666667</v>
      </c>
      <c r="F13" s="39" t="n">
        <f aca="false">E13*C13</f>
        <v>666.666666666667</v>
      </c>
      <c r="G13" s="40" t="s">
        <v>79</v>
      </c>
      <c r="H13" s="36" t="s">
        <v>80</v>
      </c>
    </row>
    <row r="14" customFormat="false" ht="30" hidden="false" customHeight="true" outlineLevel="0" collapsed="false">
      <c r="A14" s="28" t="s">
        <v>81</v>
      </c>
      <c r="B14" s="33" t="n">
        <v>300000</v>
      </c>
      <c r="C14" s="34" t="n">
        <v>0.1</v>
      </c>
      <c r="D14" s="35" t="n">
        <f aca="false">B14*C14</f>
        <v>30000</v>
      </c>
      <c r="E14" s="35" t="n">
        <f aca="false">B14/30</f>
        <v>10000</v>
      </c>
      <c r="F14" s="35" t="n">
        <f aca="false">E14*C14</f>
        <v>1000</v>
      </c>
      <c r="G14" s="35" t="n">
        <f aca="false">F14-$F$13</f>
        <v>333.333333333333</v>
      </c>
      <c r="H14" s="36" t="str">
        <f aca="false">IF(G14&lt;0,"Este escenario deja MENOS al día que tu supuesto. Estar por arriba de él es buena señal.",IF(G14&gt;0,"Este escenario deja MÁS al día que tu supuesto: tu supuesto se queda corto frente a él.","Igual que tu supuesto."))</f>
        <v>Este escenario deja MÁS al día que tu supuesto: tu supuesto se queda corto frente a él.</v>
      </c>
    </row>
    <row r="15" customFormat="false" ht="37.5" hidden="false" customHeight="true" outlineLevel="0" collapsed="false">
      <c r="A15" s="31" t="s">
        <v>82</v>
      </c>
      <c r="B15" s="31"/>
      <c r="C15" s="31"/>
      <c r="D15" s="31"/>
      <c r="E15" s="31"/>
      <c r="F15" s="31"/>
      <c r="G15" s="31"/>
      <c r="H15" s="31"/>
    </row>
    <row r="16" customFormat="false" ht="49.5" hidden="false" customHeight="true" outlineLevel="0" collapsed="false">
      <c r="A16" s="31" t="s">
        <v>83</v>
      </c>
      <c r="B16" s="31"/>
      <c r="C16" s="31"/>
      <c r="D16" s="31"/>
      <c r="E16" s="31"/>
      <c r="F16" s="31"/>
      <c r="G16" s="31"/>
      <c r="H16" s="31"/>
    </row>
    <row r="18" customFormat="false" ht="14.25" hidden="false" customHeight="true" outlineLevel="0" collapsed="false">
      <c r="A18" s="30" t="s">
        <v>84</v>
      </c>
      <c r="B18" s="30"/>
      <c r="C18" s="30"/>
      <c r="D18" s="30"/>
      <c r="E18" s="30"/>
      <c r="F18" s="30"/>
      <c r="G18" s="30"/>
      <c r="H18" s="30"/>
    </row>
    <row r="19" customFormat="false" ht="30" hidden="false" customHeight="true" outlineLevel="0" collapsed="false">
      <c r="A19" s="31" t="s">
        <v>85</v>
      </c>
      <c r="B19" s="31"/>
      <c r="C19" s="31"/>
      <c r="D19" s="31"/>
      <c r="E19" s="31"/>
      <c r="F19" s="31"/>
      <c r="G19" s="31"/>
      <c r="H19" s="31"/>
    </row>
    <row r="20" customFormat="false" ht="31.5" hidden="false" customHeight="true" outlineLevel="0" collapsed="false">
      <c r="A20" s="32" t="s">
        <v>69</v>
      </c>
      <c r="B20" s="32" t="s">
        <v>70</v>
      </c>
      <c r="C20" s="32" t="s">
        <v>71</v>
      </c>
      <c r="D20" s="32" t="s">
        <v>72</v>
      </c>
      <c r="E20" s="32" t="s">
        <v>73</v>
      </c>
      <c r="F20" s="32" t="s">
        <v>74</v>
      </c>
      <c r="G20" s="32" t="s">
        <v>75</v>
      </c>
      <c r="H20" s="32" t="s">
        <v>76</v>
      </c>
    </row>
    <row r="21" customFormat="false" ht="27.75" hidden="false" customHeight="true" outlineLevel="0" collapsed="false">
      <c r="A21" s="29" t="s">
        <v>86</v>
      </c>
      <c r="B21" s="35" t="n">
        <f aca="false">B13</f>
        <v>200000</v>
      </c>
      <c r="C21" s="41" t="n">
        <f aca="false">C13</f>
        <v>0.1</v>
      </c>
      <c r="D21" s="35" t="n">
        <f aca="false">B21*C21</f>
        <v>20000</v>
      </c>
      <c r="E21" s="35" t="n">
        <f aca="false">B21/30</f>
        <v>6666.66666666667</v>
      </c>
      <c r="F21" s="39" t="n">
        <f aca="false">E21*C21</f>
        <v>666.666666666667</v>
      </c>
      <c r="G21" s="40" t="s">
        <v>79</v>
      </c>
      <c r="H21" s="36" t="s">
        <v>87</v>
      </c>
    </row>
    <row r="22" customFormat="false" ht="27.75" hidden="false" customHeight="true" outlineLevel="0" collapsed="false">
      <c r="A22" s="42" t="s">
        <v>88</v>
      </c>
      <c r="B22" s="38" t="n">
        <v>250000</v>
      </c>
      <c r="C22" s="41" t="n">
        <f aca="false">C13</f>
        <v>0.1</v>
      </c>
      <c r="D22" s="35" t="n">
        <f aca="false">B22*C22</f>
        <v>25000</v>
      </c>
      <c r="E22" s="35" t="n">
        <f aca="false">B22/30</f>
        <v>8333.33333333333</v>
      </c>
      <c r="F22" s="35" t="n">
        <f aca="false">E22*C22</f>
        <v>833.333333333334</v>
      </c>
      <c r="G22" s="39" t="n">
        <f aca="false">F22-$F$21</f>
        <v>166.666666666667</v>
      </c>
      <c r="H22" s="36" t="s">
        <v>89</v>
      </c>
    </row>
    <row r="23" customFormat="false" ht="27.75" hidden="false" customHeight="true" outlineLevel="0" collapsed="false">
      <c r="A23" s="42" t="s">
        <v>90</v>
      </c>
      <c r="B23" s="35" t="n">
        <f aca="false">B13</f>
        <v>200000</v>
      </c>
      <c r="C23" s="34" t="n">
        <v>0.15</v>
      </c>
      <c r="D23" s="35" t="n">
        <f aca="false">B23*C23</f>
        <v>30000</v>
      </c>
      <c r="E23" s="35" t="n">
        <f aca="false">B23/30</f>
        <v>6666.66666666667</v>
      </c>
      <c r="F23" s="35" t="n">
        <f aca="false">E23*C23</f>
        <v>1000</v>
      </c>
      <c r="G23" s="39" t="n">
        <f aca="false">F23-$F$21</f>
        <v>333.333333333333</v>
      </c>
      <c r="H23" s="36" t="s">
        <v>91</v>
      </c>
    </row>
    <row r="24" customFormat="false" ht="30" hidden="false" customHeight="true" outlineLevel="0" collapsed="false">
      <c r="A24" s="31" t="s">
        <v>92</v>
      </c>
      <c r="B24" s="31"/>
      <c r="C24" s="31"/>
      <c r="D24" s="31"/>
      <c r="E24" s="31"/>
      <c r="F24" s="31"/>
      <c r="G24" s="31"/>
      <c r="H24" s="31"/>
    </row>
  </sheetData>
  <mergeCells count="13">
    <mergeCell ref="A1:H1"/>
    <mergeCell ref="A2:H2"/>
    <mergeCell ref="A4:H4"/>
    <mergeCell ref="B5:H5"/>
    <mergeCell ref="B6:H6"/>
    <mergeCell ref="B7:H7"/>
    <mergeCell ref="A9:H9"/>
    <mergeCell ref="A10:H10"/>
    <mergeCell ref="A15:H15"/>
    <mergeCell ref="A16:H16"/>
    <mergeCell ref="A18:H18"/>
    <mergeCell ref="A19:H19"/>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20"/>
    <col collapsed="false" customWidth="true" hidden="false" outlineLevel="0" max="4" min="4" style="1" width="60"/>
  </cols>
  <sheetData>
    <row r="1" customFormat="false" ht="24" hidden="false" customHeight="true" outlineLevel="0" collapsed="false">
      <c r="A1" s="2" t="s">
        <v>93</v>
      </c>
      <c r="B1" s="2"/>
      <c r="C1" s="2"/>
      <c r="D1" s="2"/>
    </row>
    <row r="2" customFormat="false" ht="19.5" hidden="false" customHeight="true" outlineLevel="0" collapsed="false">
      <c r="A2" s="3" t="s">
        <v>94</v>
      </c>
      <c r="B2" s="3"/>
      <c r="C2" s="3"/>
      <c r="D2" s="3"/>
    </row>
    <row r="4" customFormat="false" ht="24" hidden="false" customHeight="true" outlineLevel="0" collapsed="false">
      <c r="A4" s="2" t="s">
        <v>95</v>
      </c>
      <c r="B4" s="2"/>
      <c r="C4" s="2"/>
      <c r="D4" s="2"/>
    </row>
    <row r="5" customFormat="false" ht="33.75" hidden="false" customHeight="true" outlineLevel="0" collapsed="false">
      <c r="A5" s="4" t="s">
        <v>96</v>
      </c>
      <c r="B5" s="4"/>
      <c r="C5" s="4"/>
      <c r="D5" s="4"/>
    </row>
    <row r="6" customFormat="false" ht="30" hidden="false" customHeight="true" outlineLevel="0" collapsed="false">
      <c r="A6" s="5" t="s">
        <v>38</v>
      </c>
      <c r="B6" s="5" t="s">
        <v>97</v>
      </c>
      <c r="C6" s="5" t="s">
        <v>98</v>
      </c>
      <c r="D6" s="5" t="s">
        <v>99</v>
      </c>
    </row>
    <row r="7" customFormat="false" ht="25.5" hidden="false" customHeight="true" outlineLevel="0" collapsed="false">
      <c r="A7" s="14" t="s">
        <v>47</v>
      </c>
      <c r="B7" s="20" t="n">
        <v>87</v>
      </c>
      <c r="C7" s="43" t="s">
        <v>100</v>
      </c>
      <c r="D7" s="17" t="s">
        <v>101</v>
      </c>
    </row>
    <row r="8" customFormat="false" ht="25.5" hidden="false" customHeight="true" outlineLevel="0" collapsed="false">
      <c r="A8" s="14" t="s">
        <v>102</v>
      </c>
      <c r="B8" s="18" t="n">
        <v>3.5</v>
      </c>
      <c r="C8" s="43" t="s">
        <v>103</v>
      </c>
      <c r="D8" s="17" t="s">
        <v>104</v>
      </c>
    </row>
    <row r="9" customFormat="false" ht="25.5" hidden="false" customHeight="true" outlineLevel="0" collapsed="false">
      <c r="A9" s="14" t="s">
        <v>105</v>
      </c>
      <c r="B9" s="15" t="n">
        <v>22</v>
      </c>
      <c r="C9" s="43" t="s">
        <v>106</v>
      </c>
      <c r="D9" s="17" t="s">
        <v>107</v>
      </c>
    </row>
    <row r="10" customFormat="false" ht="25.5" hidden="false" customHeight="true" outlineLevel="0" collapsed="false">
      <c r="A10" s="14" t="s">
        <v>51</v>
      </c>
      <c r="B10" s="21" t="n">
        <v>30</v>
      </c>
      <c r="C10" s="43" t="s">
        <v>108</v>
      </c>
      <c r="D10" s="17" t="s">
        <v>109</v>
      </c>
    </row>
    <row r="12" customFormat="false" ht="30" hidden="false" customHeight="true" outlineLevel="0" collapsed="false">
      <c r="A12" s="5" t="s">
        <v>110</v>
      </c>
      <c r="B12" s="5" t="s">
        <v>97</v>
      </c>
      <c r="C12" s="5"/>
      <c r="D12" s="5" t="s">
        <v>111</v>
      </c>
    </row>
    <row r="13" customFormat="false" ht="24" hidden="false" customHeight="true" outlineLevel="0" collapsed="false">
      <c r="A13" s="14" t="s">
        <v>112</v>
      </c>
      <c r="B13" s="22"/>
      <c r="D13" s="17" t="s">
        <v>113</v>
      </c>
    </row>
    <row r="14" customFormat="false" ht="24" hidden="false" customHeight="true" outlineLevel="0" collapsed="false">
      <c r="A14" s="14" t="s">
        <v>114</v>
      </c>
      <c r="B14" s="44"/>
      <c r="D14" s="17" t="s">
        <v>115</v>
      </c>
    </row>
    <row r="15" customFormat="false" ht="24" hidden="false" customHeight="true" outlineLevel="0" collapsed="false">
      <c r="A15" s="45" t="s">
        <v>116</v>
      </c>
      <c r="B15" s="46"/>
      <c r="D15" s="17" t="s">
        <v>117</v>
      </c>
    </row>
    <row r="17" customFormat="false" ht="24" hidden="false" customHeight="true" outlineLevel="0" collapsed="false">
      <c r="A17" s="2" t="s">
        <v>118</v>
      </c>
      <c r="B17" s="2"/>
      <c r="C17" s="2"/>
      <c r="D17" s="2"/>
    </row>
    <row r="18" customFormat="false" ht="33.75" hidden="false" customHeight="true" outlineLevel="0" collapsed="false">
      <c r="A18" s="4" t="s">
        <v>119</v>
      </c>
      <c r="B18" s="4"/>
      <c r="C18" s="4"/>
      <c r="D18" s="4"/>
    </row>
    <row r="19" customFormat="false" ht="30" hidden="false" customHeight="true" outlineLevel="0" collapsed="false">
      <c r="A19" s="5" t="s">
        <v>120</v>
      </c>
      <c r="B19" s="5" t="s">
        <v>121</v>
      </c>
      <c r="C19" s="5"/>
      <c r="D19" s="5" t="s">
        <v>122</v>
      </c>
    </row>
    <row r="20" customFormat="false" ht="30" hidden="false" customHeight="true" outlineLevel="0" collapsed="false">
      <c r="A20" s="14" t="s">
        <v>123</v>
      </c>
      <c r="B20" s="44"/>
      <c r="D20" s="17" t="s">
        <v>124</v>
      </c>
    </row>
    <row r="21" customFormat="false" ht="30" hidden="false" customHeight="true" outlineLevel="0" collapsed="false">
      <c r="A21" s="14" t="s">
        <v>125</v>
      </c>
      <c r="B21" s="44"/>
      <c r="D21" s="17" t="s">
        <v>126</v>
      </c>
    </row>
    <row r="22" customFormat="false" ht="30" hidden="false" customHeight="true" outlineLevel="0" collapsed="false">
      <c r="A22" s="14" t="s">
        <v>127</v>
      </c>
      <c r="B22" s="44"/>
      <c r="D22" s="17" t="s">
        <v>128</v>
      </c>
    </row>
    <row r="23" customFormat="false" ht="43.5" hidden="false" customHeight="true" outlineLevel="0" collapsed="false">
      <c r="A23" s="4" t="s">
        <v>129</v>
      </c>
      <c r="B23" s="4"/>
      <c r="C23" s="4"/>
      <c r="D23" s="4"/>
    </row>
    <row r="25" customFormat="false" ht="24" hidden="false" customHeight="true" outlineLevel="0" collapsed="false">
      <c r="A25" s="2" t="s">
        <v>130</v>
      </c>
      <c r="B25" s="2"/>
      <c r="C25" s="2"/>
      <c r="D25" s="2"/>
    </row>
    <row r="26" customFormat="false" ht="33.75" hidden="false" customHeight="true" outlineLevel="0" collapsed="false">
      <c r="A26" s="4" t="s">
        <v>131</v>
      </c>
      <c r="B26" s="4"/>
      <c r="C26" s="4"/>
      <c r="D26" s="4"/>
    </row>
    <row r="27" customFormat="false" ht="24" hidden="false" customHeight="true" outlineLevel="0" collapsed="false">
      <c r="A27" s="14" t="s">
        <v>132</v>
      </c>
      <c r="B27" s="47" t="n">
        <f aca="false">10*B8</f>
        <v>35</v>
      </c>
      <c r="C27" s="43" t="s">
        <v>100</v>
      </c>
      <c r="D27" s="17" t="s">
        <v>133</v>
      </c>
    </row>
    <row r="28" customFormat="false" ht="39.75" hidden="false" customHeight="true" outlineLevel="0" collapsed="false">
      <c r="A28" s="14" t="s">
        <v>134</v>
      </c>
      <c r="B28" s="48" t="str">
        <f aca="false">IF(B7&gt;B27,"Por arriba del cruce: gana el Camino B. Con esta proporción, esa décima de taco cae sobre cada uno de los clientes que ya tienes.",IF(B7&lt;B27,"Por debajo del cruce: gana el Camino A. Con pocos clientes, traer uno nuevo pesa más que subirle el promedio a los que hay.","Justo en el cruce: los dos caminos empatan."))</f>
        <v>Por arriba del cruce: gana el Camino B. Con esta proporción, esa décima de taco cae sobre cada uno de los clientes que ya tienes.</v>
      </c>
      <c r="C28" s="48"/>
      <c r="D28" s="48"/>
    </row>
    <row r="30" customFormat="false" ht="24" hidden="false" customHeight="true" outlineLevel="0" collapsed="false">
      <c r="A30" s="2" t="s">
        <v>135</v>
      </c>
      <c r="B30" s="2"/>
      <c r="C30" s="2"/>
      <c r="D30" s="2"/>
    </row>
    <row r="31" customFormat="false" ht="33.75" hidden="false" customHeight="true" outlineLevel="0" collapsed="false">
      <c r="A31" s="4" t="s">
        <v>136</v>
      </c>
      <c r="B31" s="4"/>
      <c r="C31" s="4"/>
      <c r="D31" s="4"/>
    </row>
    <row r="32" customFormat="false" ht="30" hidden="false" customHeight="true" outlineLevel="0" collapsed="false">
      <c r="A32" s="5" t="s">
        <v>137</v>
      </c>
      <c r="B32" s="5" t="s">
        <v>97</v>
      </c>
      <c r="C32" s="5"/>
      <c r="D32" s="5" t="s">
        <v>56</v>
      </c>
    </row>
    <row r="33" customFormat="false" ht="24" hidden="false" customHeight="true" outlineLevel="0" collapsed="false">
      <c r="A33" s="14" t="s">
        <v>138</v>
      </c>
      <c r="B33" s="49" t="n">
        <f aca="false">1/B7</f>
        <v>0.0114942528735632</v>
      </c>
      <c r="D33" s="17" t="s">
        <v>139</v>
      </c>
    </row>
    <row r="34" customFormat="false" ht="24" hidden="false" customHeight="true" outlineLevel="0" collapsed="false">
      <c r="A34" s="14" t="s">
        <v>140</v>
      </c>
      <c r="B34" s="49" t="n">
        <f aca="false">0.1/B8</f>
        <v>0.0285714285714286</v>
      </c>
      <c r="D34" s="17" t="s">
        <v>141</v>
      </c>
    </row>
    <row r="35" customFormat="false" ht="24" hidden="false" customHeight="true" outlineLevel="0" collapsed="false">
      <c r="A35" s="14" t="s">
        <v>142</v>
      </c>
      <c r="B35" s="50" t="n">
        <f aca="false">(0.1/B8)/(1/B7)</f>
        <v>2.48571428571429</v>
      </c>
      <c r="D35" s="17" t="s">
        <v>143</v>
      </c>
    </row>
    <row r="36" customFormat="false" ht="24" hidden="false" customHeight="true" outlineLevel="0" collapsed="false">
      <c r="A36" s="14" t="s">
        <v>144</v>
      </c>
      <c r="B36" s="50" t="str">
        <f aca="false">IF(B20=0,"Se llena al construir el bloque 2.",B21/B20)</f>
        <v>Se llena al construir el bloque 2.</v>
      </c>
      <c r="D36" s="17" t="s">
        <v>145</v>
      </c>
    </row>
    <row r="37" customFormat="false" ht="57.75" hidden="false" customHeight="true" outlineLevel="0" collapsed="false">
      <c r="A37" s="4" t="s">
        <v>146</v>
      </c>
      <c r="B37" s="4"/>
      <c r="C37" s="4"/>
      <c r="D37" s="4"/>
    </row>
    <row r="39" customFormat="false" ht="24" hidden="false" customHeight="true" outlineLevel="0" collapsed="false">
      <c r="A39" s="2" t="s">
        <v>147</v>
      </c>
      <c r="B39" s="2"/>
      <c r="C39" s="2"/>
      <c r="D39" s="2"/>
    </row>
    <row r="40" customFormat="false" ht="33.75" hidden="false" customHeight="true" outlineLevel="0" collapsed="false">
      <c r="A40" s="4" t="s">
        <v>148</v>
      </c>
      <c r="B40" s="4"/>
      <c r="C40" s="4"/>
      <c r="D40" s="4"/>
    </row>
    <row r="41" customFormat="false" ht="15" hidden="false" customHeight="true" outlineLevel="0" collapsed="false">
      <c r="A41" s="14" t="s">
        <v>149</v>
      </c>
      <c r="B41" s="51" t="n">
        <v>0.05</v>
      </c>
      <c r="D41" s="17" t="s">
        <v>150</v>
      </c>
    </row>
    <row r="42" customFormat="false" ht="30" hidden="false" customHeight="true" outlineLevel="0" collapsed="false">
      <c r="A42" s="5" t="s">
        <v>151</v>
      </c>
      <c r="B42" s="5" t="s">
        <v>121</v>
      </c>
      <c r="C42" s="5"/>
      <c r="D42" s="5" t="s">
        <v>152</v>
      </c>
    </row>
    <row r="43" customFormat="false" ht="25.5" hidden="false" customHeight="true" outlineLevel="0" collapsed="false">
      <c r="A43" s="14" t="s">
        <v>153</v>
      </c>
      <c r="B43" s="44" t="n">
        <f aca="false">B9*(B7*B41)*B8*B10</f>
        <v>10048.5</v>
      </c>
      <c r="D43" s="17" t="s">
        <v>154</v>
      </c>
    </row>
    <row r="44" customFormat="false" ht="25.5" hidden="false" customHeight="true" outlineLevel="0" collapsed="false">
      <c r="A44" s="14" t="s">
        <v>155</v>
      </c>
      <c r="B44" s="44" t="n">
        <f aca="false">B9*B7*(B8*B41)*B10</f>
        <v>10048.5</v>
      </c>
      <c r="D44" s="17" t="s">
        <v>156</v>
      </c>
    </row>
    <row r="45" customFormat="false" ht="25.5" hidden="false" customHeight="true" outlineLevel="0" collapsed="false">
      <c r="A45" s="14" t="s">
        <v>157</v>
      </c>
      <c r="B45" s="44" t="n">
        <f aca="false">B43-B44</f>
        <v>0</v>
      </c>
      <c r="D45" s="17" t="s">
        <v>158</v>
      </c>
    </row>
    <row r="46" customFormat="false" ht="48" hidden="false" customHeight="true" outlineLevel="0" collapsed="false">
      <c r="A46" s="4" t="s">
        <v>159</v>
      </c>
      <c r="B46" s="4"/>
      <c r="C46" s="4"/>
      <c r="D46" s="4"/>
    </row>
    <row r="48" customFormat="false" ht="24" hidden="false" customHeight="true" outlineLevel="0" collapsed="false">
      <c r="A48" s="2" t="s">
        <v>160</v>
      </c>
      <c r="B48" s="2"/>
      <c r="C48" s="2"/>
      <c r="D48" s="2"/>
    </row>
    <row r="49" customFormat="false" ht="33.75" hidden="false" customHeight="true" outlineLevel="0" collapsed="false">
      <c r="A49" s="4" t="s">
        <v>161</v>
      </c>
      <c r="B49" s="4"/>
      <c r="C49" s="4"/>
      <c r="D49" s="4"/>
    </row>
    <row r="50" customFormat="false" ht="30" hidden="false" customHeight="true" outlineLevel="0" collapsed="false">
      <c r="A50" s="5" t="s">
        <v>38</v>
      </c>
      <c r="B50" s="5" t="s">
        <v>39</v>
      </c>
      <c r="C50" s="5" t="s">
        <v>9</v>
      </c>
      <c r="D50" s="5" t="s">
        <v>162</v>
      </c>
    </row>
    <row r="51" customFormat="false" ht="24" hidden="false" customHeight="true" outlineLevel="0" collapsed="false">
      <c r="A51" s="14" t="s">
        <v>41</v>
      </c>
      <c r="B51" s="52"/>
      <c r="C51" s="52"/>
      <c r="D51" s="17" t="s">
        <v>163</v>
      </c>
    </row>
    <row r="52" customFormat="false" ht="24" hidden="false" customHeight="true" outlineLevel="0" collapsed="false">
      <c r="A52" s="14" t="s">
        <v>47</v>
      </c>
      <c r="B52" s="53"/>
      <c r="C52" s="53"/>
      <c r="D52" s="17" t="s">
        <v>163</v>
      </c>
    </row>
    <row r="53" customFormat="false" ht="24" hidden="false" customHeight="true" outlineLevel="0" collapsed="false">
      <c r="A53" s="14" t="s">
        <v>49</v>
      </c>
      <c r="B53" s="53"/>
      <c r="C53" s="53"/>
      <c r="D53" s="17" t="s">
        <v>163</v>
      </c>
    </row>
    <row r="54" customFormat="false" ht="24" hidden="false" customHeight="true" outlineLevel="0" collapsed="false">
      <c r="A54" s="14" t="s">
        <v>51</v>
      </c>
      <c r="B54" s="54"/>
      <c r="C54" s="54"/>
      <c r="D54" s="17" t="s">
        <v>163</v>
      </c>
    </row>
    <row r="56" customFormat="false" ht="30" hidden="false" customHeight="true" outlineLevel="0" collapsed="false">
      <c r="A56" s="5" t="s">
        <v>110</v>
      </c>
      <c r="B56" s="5" t="s">
        <v>39</v>
      </c>
      <c r="C56" s="5" t="s">
        <v>9</v>
      </c>
      <c r="D56" s="5" t="s">
        <v>111</v>
      </c>
    </row>
    <row r="57" customFormat="false" ht="24" hidden="false" customHeight="true" outlineLevel="0" collapsed="false">
      <c r="A57" s="14" t="s">
        <v>164</v>
      </c>
      <c r="B57" s="22"/>
      <c r="C57" s="22"/>
      <c r="D57" s="17" t="s">
        <v>58</v>
      </c>
    </row>
    <row r="58" customFormat="false" ht="24" hidden="false" customHeight="true" outlineLevel="0" collapsed="false">
      <c r="A58" s="14" t="s">
        <v>114</v>
      </c>
      <c r="B58" s="44"/>
      <c r="C58" s="44"/>
      <c r="D58" s="17" t="s">
        <v>165</v>
      </c>
    </row>
    <row r="59" customFormat="false" ht="24" hidden="false" customHeight="true" outlineLevel="0" collapsed="false">
      <c r="A59" s="45" t="s">
        <v>116</v>
      </c>
      <c r="B59" s="46"/>
      <c r="C59" s="46"/>
      <c r="D59" s="17" t="s">
        <v>117</v>
      </c>
    </row>
    <row r="61" customFormat="false" ht="30" hidden="false" customHeight="true" outlineLevel="0" collapsed="false">
      <c r="A61" s="5" t="s">
        <v>120</v>
      </c>
      <c r="B61" s="5" t="s">
        <v>39</v>
      </c>
      <c r="C61" s="5" t="s">
        <v>9</v>
      </c>
      <c r="D61" s="5" t="s">
        <v>166</v>
      </c>
    </row>
    <row r="62" customFormat="false" ht="25.5" hidden="false" customHeight="true" outlineLevel="0" collapsed="false">
      <c r="A62" s="14" t="s">
        <v>123</v>
      </c>
      <c r="B62" s="44" t="n">
        <f aca="false">B51*B53*B54</f>
        <v>0</v>
      </c>
      <c r="C62" s="44" t="n">
        <f aca="false">C51*C53*C54</f>
        <v>0</v>
      </c>
      <c r="D62" s="17" t="s">
        <v>167</v>
      </c>
    </row>
    <row r="63" customFormat="false" ht="25.5" hidden="false" customHeight="true" outlineLevel="0" collapsed="false">
      <c r="A63" s="14" t="s">
        <v>168</v>
      </c>
      <c r="B63" s="44" t="n">
        <f aca="false">B51*B52*0.1*B54</f>
        <v>0</v>
      </c>
      <c r="C63" s="44" t="n">
        <f aca="false">C51*C52*0.1*C54</f>
        <v>0</v>
      </c>
      <c r="D63" s="17" t="s">
        <v>169</v>
      </c>
    </row>
    <row r="64" customFormat="false" ht="24" hidden="false" customHeight="true" outlineLevel="0" collapsed="false">
      <c r="A64" s="14" t="s">
        <v>132</v>
      </c>
      <c r="B64" s="22" t="n">
        <f aca="false">10*B53</f>
        <v>0</v>
      </c>
      <c r="C64" s="22" t="n">
        <f aca="false">10*C53</f>
        <v>0</v>
      </c>
      <c r="D64" s="17" t="s">
        <v>170</v>
      </c>
    </row>
    <row r="65" customFormat="false" ht="43.5" hidden="false" customHeight="true" outlineLevel="0" collapsed="false">
      <c r="A65" s="14" t="s">
        <v>171</v>
      </c>
      <c r="B65" s="48" t="str">
        <f aca="false">IF(C52=0,"Llena tus supuestos en la pestaña «Tu negocio» y esta celda se contesta sola.",IF(C52&gt;C64,"Con tus supuestos de hoy gana el Camino B: unidades por cada cliente. Ya tienes gente suficiente para que una décima extra en cada uno pese más que traer a uno nuevo.",IF(C52&lt;C64,"Con tus supuestos de hoy gana el Camino A: clientes por día. Todavía tienes poca gente, así que traer a uno nuevo pesa más que subirle el promedio a los que ya vienen.","Estás justo en el cruce: los dos caminos rinden lo mismo.")))</f>
        <v>Llena tus supuestos en la pestaña «Tu negocio» y esta celda se contesta sola.</v>
      </c>
      <c r="C65" s="48"/>
      <c r="D65" s="48"/>
    </row>
    <row r="66" customFormat="false" ht="43.5" hidden="false" customHeight="true" outlineLevel="0" collapsed="false">
      <c r="A66" s="4" t="s">
        <v>172</v>
      </c>
      <c r="B66" s="4"/>
      <c r="C66" s="4"/>
      <c r="D66" s="4"/>
    </row>
  </sheetData>
  <mergeCells count="20">
    <mergeCell ref="A1:D1"/>
    <mergeCell ref="A2:D2"/>
    <mergeCell ref="A4:D4"/>
    <mergeCell ref="A5:D5"/>
    <mergeCell ref="A17:D17"/>
    <mergeCell ref="A18:D18"/>
    <mergeCell ref="A23:D23"/>
    <mergeCell ref="A25:D25"/>
    <mergeCell ref="A26:D26"/>
    <mergeCell ref="B28:D28"/>
    <mergeCell ref="A30:D30"/>
    <mergeCell ref="A31:D31"/>
    <mergeCell ref="A37:D37"/>
    <mergeCell ref="A39:D39"/>
    <mergeCell ref="A40:D40"/>
    <mergeCell ref="A46:D46"/>
    <mergeCell ref="A48:D48"/>
    <mergeCell ref="A49:D49"/>
    <mergeCell ref="B65:D65"/>
    <mergeCell ref="A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26"/>
    <col collapsed="false" customWidth="true" hidden="false" outlineLevel="0" max="5" min="4" style="0" width="20"/>
    <col collapsed="false" customWidth="true" hidden="false" outlineLevel="0" max="6" min="6" style="0" width="26"/>
  </cols>
  <sheetData>
    <row r="1" customFormat="false" ht="24" hidden="false" customHeight="true" outlineLevel="0" collapsed="false">
      <c r="A1" s="2" t="s">
        <v>173</v>
      </c>
      <c r="B1" s="2"/>
      <c r="C1" s="2"/>
      <c r="D1" s="2"/>
      <c r="E1" s="2"/>
      <c r="F1" s="2"/>
    </row>
    <row r="2" customFormat="false" ht="19.5" hidden="false" customHeight="true" outlineLevel="0" collapsed="false">
      <c r="A2" s="55" t="s">
        <v>174</v>
      </c>
      <c r="B2" s="55"/>
      <c r="C2" s="55"/>
      <c r="D2" s="55"/>
      <c r="E2" s="55"/>
      <c r="F2" s="55"/>
    </row>
    <row r="4" customFormat="false" ht="24" hidden="false" customHeight="true" outlineLevel="0" collapsed="false">
      <c r="A4" s="2" t="s">
        <v>175</v>
      </c>
      <c r="B4" s="2"/>
      <c r="C4" s="2"/>
      <c r="D4" s="2"/>
      <c r="E4" s="2"/>
      <c r="F4" s="2"/>
    </row>
    <row r="5" customFormat="false" ht="33.75" hidden="false" customHeight="true" outlineLevel="0" collapsed="false">
      <c r="A5" s="4" t="s">
        <v>176</v>
      </c>
      <c r="B5" s="4"/>
      <c r="C5" s="4"/>
      <c r="D5" s="4"/>
      <c r="E5" s="4"/>
      <c r="F5" s="4"/>
    </row>
    <row r="6" customFormat="false" ht="30" hidden="false" customHeight="true" outlineLevel="0" collapsed="false">
      <c r="A6" s="5" t="s">
        <v>69</v>
      </c>
      <c r="B6" s="5"/>
      <c r="C6" s="5" t="s">
        <v>74</v>
      </c>
      <c r="D6" s="5"/>
      <c r="E6" s="5"/>
      <c r="F6" s="5" t="s">
        <v>56</v>
      </c>
    </row>
    <row r="7" customFormat="false" ht="15" hidden="false" customHeight="true" outlineLevel="0" collapsed="false">
      <c r="A7" s="56" t="s">
        <v>77</v>
      </c>
      <c r="C7" s="57" t="n">
        <f aca="false">'S01-Lab'!F12</f>
        <v>333.333333333333</v>
      </c>
      <c r="F7" s="58" t="s">
        <v>177</v>
      </c>
    </row>
    <row r="8" customFormat="false" ht="15" hidden="false" customHeight="false" outlineLevel="0" collapsed="false">
      <c r="A8" s="56" t="s">
        <v>78</v>
      </c>
      <c r="C8" s="57" t="n">
        <f aca="false">'S01-Lab'!F13</f>
        <v>666.666666666667</v>
      </c>
      <c r="F8" s="58"/>
    </row>
    <row r="9" customFormat="false" ht="15" hidden="false" customHeight="false" outlineLevel="0" collapsed="false">
      <c r="A9" s="56" t="s">
        <v>81</v>
      </c>
      <c r="C9" s="57" t="n">
        <f aca="false">'S01-Lab'!F14</f>
        <v>1000</v>
      </c>
      <c r="F9" s="58"/>
    </row>
    <row r="11" customFormat="false" ht="24" hidden="false" customHeight="true" outlineLevel="0" collapsed="false">
      <c r="A11" s="2" t="s">
        <v>178</v>
      </c>
      <c r="B11" s="2"/>
      <c r="C11" s="2"/>
      <c r="D11" s="2"/>
      <c r="E11" s="2"/>
      <c r="F11" s="2"/>
    </row>
    <row r="12" customFormat="false" ht="33.75" hidden="false" customHeight="true" outlineLevel="0" collapsed="false">
      <c r="A12" s="4" t="s">
        <v>179</v>
      </c>
      <c r="B12" s="4"/>
      <c r="C12" s="4"/>
      <c r="D12" s="4"/>
      <c r="E12" s="4"/>
      <c r="F12" s="4"/>
    </row>
    <row r="13" customFormat="false" ht="30" hidden="false" customHeight="true" outlineLevel="0" collapsed="false">
      <c r="A13" s="5" t="s">
        <v>180</v>
      </c>
      <c r="B13" s="5" t="s">
        <v>181</v>
      </c>
      <c r="C13" s="5" t="s">
        <v>182</v>
      </c>
      <c r="D13" s="5" t="s">
        <v>183</v>
      </c>
      <c r="E13" s="5" t="s">
        <v>184</v>
      </c>
      <c r="F13" s="5" t="s">
        <v>185</v>
      </c>
    </row>
    <row r="14" customFormat="false" ht="24" hidden="false" customHeight="true" outlineLevel="0" collapsed="false">
      <c r="A14" s="59" t="s">
        <v>186</v>
      </c>
      <c r="B14" s="60" t="s">
        <v>187</v>
      </c>
      <c r="C14" s="61" t="s">
        <v>188</v>
      </c>
      <c r="D14" s="62" t="n">
        <v>304.5</v>
      </c>
      <c r="E14" s="63" t="n">
        <f aca="false">'S02-Lab'!B13</f>
        <v>0</v>
      </c>
      <c r="F14" s="64" t="str">
        <f aca="false">IF(E14=0,"por construir",IF(ABS(E14-D14)&lt;0.01,"OK","revisar la fórmula"))</f>
        <v>por construir</v>
      </c>
    </row>
    <row r="15" customFormat="false" ht="24" hidden="false" customHeight="true" outlineLevel="0" collapsed="false">
      <c r="A15" s="59" t="s">
        <v>186</v>
      </c>
      <c r="B15" s="60" t="s">
        <v>189</v>
      </c>
      <c r="C15" s="61" t="s">
        <v>190</v>
      </c>
      <c r="D15" s="65" t="n">
        <v>6699</v>
      </c>
      <c r="E15" s="57" t="n">
        <f aca="false">'S02-Lab'!B14</f>
        <v>0</v>
      </c>
      <c r="F15" s="64" t="str">
        <f aca="false">IF(E15=0,"por construir",IF(ABS(E15-D15)&lt;0.01,"OK","revisar la fórmula"))</f>
        <v>por construir</v>
      </c>
    </row>
    <row r="16" customFormat="false" ht="24" hidden="false" customHeight="true" outlineLevel="0" collapsed="false">
      <c r="A16" s="59" t="s">
        <v>186</v>
      </c>
      <c r="B16" s="60" t="s">
        <v>191</v>
      </c>
      <c r="C16" s="61" t="s">
        <v>192</v>
      </c>
      <c r="D16" s="65" t="n">
        <v>200970</v>
      </c>
      <c r="E16" s="57" t="n">
        <f aca="false">'S02-Lab'!B15</f>
        <v>0</v>
      </c>
      <c r="F16" s="64" t="str">
        <f aca="false">IF(E16=0,"por construir",IF(ABS(E16-D16)&lt;0.01,"OK","revisar la fórmula"))</f>
        <v>por construir</v>
      </c>
    </row>
    <row r="17" customFormat="false" ht="24" hidden="false" customHeight="true" outlineLevel="0" collapsed="false">
      <c r="A17" s="59" t="s">
        <v>193</v>
      </c>
      <c r="B17" s="60" t="s">
        <v>194</v>
      </c>
      <c r="C17" s="61" t="s">
        <v>195</v>
      </c>
      <c r="D17" s="65" t="n">
        <v>2310</v>
      </c>
      <c r="E17" s="57" t="n">
        <f aca="false">'S02-Lab'!B20</f>
        <v>0</v>
      </c>
      <c r="F17" s="64" t="str">
        <f aca="false">IF(E17=0,"por construir",IF(ABS(E17-D17)&lt;0.01,"OK","revisar la fórmula"))</f>
        <v>por construir</v>
      </c>
    </row>
    <row r="18" customFormat="false" ht="24" hidden="false" customHeight="true" outlineLevel="0" collapsed="false">
      <c r="A18" s="59" t="s">
        <v>193</v>
      </c>
      <c r="B18" s="60" t="s">
        <v>196</v>
      </c>
      <c r="C18" s="61" t="s">
        <v>197</v>
      </c>
      <c r="D18" s="65" t="n">
        <v>5742</v>
      </c>
      <c r="E18" s="57" t="n">
        <f aca="false">'S02-Lab'!B21</f>
        <v>0</v>
      </c>
      <c r="F18" s="64" t="str">
        <f aca="false">IF(E18=0,"por construir",IF(ABS(E18-D18)&lt;0.01,"OK","revisar la fórmula"))</f>
        <v>por construir</v>
      </c>
    </row>
    <row r="19" customFormat="false" ht="24" hidden="false" customHeight="true" outlineLevel="0" collapsed="false">
      <c r="A19" s="59" t="s">
        <v>193</v>
      </c>
      <c r="B19" s="60" t="s">
        <v>198</v>
      </c>
      <c r="C19" s="61" t="s">
        <v>199</v>
      </c>
      <c r="D19" s="65" t="n">
        <v>6699</v>
      </c>
      <c r="E19" s="57" t="n">
        <f aca="false">'S02-Lab'!B22</f>
        <v>0</v>
      </c>
      <c r="F19" s="64" t="str">
        <f aca="false">IF(E19=0,"por construir",IF(ABS(E19-D19)&lt;0.01,"OK","revisar la fórmula"))</f>
        <v>por construir</v>
      </c>
    </row>
    <row r="20" customFormat="false" ht="24" hidden="false" customHeight="true" outlineLevel="0" collapsed="false">
      <c r="A20" s="59" t="s">
        <v>200</v>
      </c>
      <c r="B20" s="60" t="s">
        <v>201</v>
      </c>
      <c r="C20" s="61" t="s">
        <v>202</v>
      </c>
      <c r="D20" s="66" t="s">
        <v>203</v>
      </c>
      <c r="E20" s="63" t="n">
        <f aca="false">'S02-Lab'!C51</f>
        <v>0</v>
      </c>
      <c r="F20" s="64" t="str">
        <f aca="false">IF('Tu negocio'!C7="","llena primero Tu negocio",IF('S02-Lab'!C51='Tu negocio'!C7,"conectada","falta conectar"))</f>
        <v>llena primero Tu negocio</v>
      </c>
    </row>
    <row r="21" customFormat="false" ht="24" hidden="false" customHeight="true" outlineLevel="0" collapsed="false">
      <c r="A21" s="59" t="s">
        <v>200</v>
      </c>
      <c r="B21" s="60" t="s">
        <v>204</v>
      </c>
      <c r="C21" s="61" t="s">
        <v>205</v>
      </c>
      <c r="D21" s="66" t="s">
        <v>203</v>
      </c>
      <c r="E21" s="63" t="n">
        <f aca="false">'S02-Lab'!C52</f>
        <v>0</v>
      </c>
      <c r="F21" s="64" t="str">
        <f aca="false">IF('Tu negocio'!C7="","llena primero Tu negocio",IF('S02-Lab'!C52='Tu negocio'!C13,"conectada","falta conectar"))</f>
        <v>llena primero Tu negocio</v>
      </c>
    </row>
    <row r="22" customFormat="false" ht="24" hidden="false" customHeight="true" outlineLevel="0" collapsed="false">
      <c r="A22" s="59" t="s">
        <v>200</v>
      </c>
      <c r="B22" s="60" t="s">
        <v>206</v>
      </c>
      <c r="C22" s="61" t="s">
        <v>207</v>
      </c>
      <c r="D22" s="66" t="s">
        <v>203</v>
      </c>
      <c r="E22" s="63" t="n">
        <f aca="false">'S02-Lab'!C53</f>
        <v>0</v>
      </c>
      <c r="F22" s="64" t="str">
        <f aca="false">IF('Tu negocio'!C7="","llena primero Tu negocio",IF('S02-Lab'!C53='Tu negocio'!C14,"conectada","falta conectar"))</f>
        <v>llena primero Tu negocio</v>
      </c>
    </row>
    <row r="23" customFormat="false" ht="24" hidden="false" customHeight="true" outlineLevel="0" collapsed="false">
      <c r="A23" s="59" t="s">
        <v>200</v>
      </c>
      <c r="B23" s="60" t="s">
        <v>208</v>
      </c>
      <c r="C23" s="61" t="s">
        <v>209</v>
      </c>
      <c r="D23" s="66" t="s">
        <v>203</v>
      </c>
      <c r="E23" s="63" t="n">
        <f aca="false">'S02-Lab'!C54</f>
        <v>0</v>
      </c>
      <c r="F23" s="64" t="str">
        <f aca="false">IF('Tu negocio'!C7="","llena primero Tu negocio",IF('S02-Lab'!C54='Tu negocio'!C15,"conectada","falta conectar"))</f>
        <v>llena primero Tu negocio</v>
      </c>
    </row>
    <row r="24" customFormat="false" ht="24" hidden="false" customHeight="true" outlineLevel="0" collapsed="false">
      <c r="A24" s="59" t="s">
        <v>210</v>
      </c>
      <c r="B24" s="60" t="s">
        <v>211</v>
      </c>
      <c r="C24" s="61" t="s">
        <v>212</v>
      </c>
      <c r="D24" s="66" t="s">
        <v>213</v>
      </c>
      <c r="E24" s="57" t="n">
        <f aca="false">'S02-Lab'!C57</f>
        <v>0</v>
      </c>
      <c r="F24" s="64" t="str">
        <f aca="false">IF('Tu negocio'!C7="","llena primero Tu negocio",IF('S02-Lab'!C57&gt;0,"OK","por construir"))</f>
        <v>llena primero Tu negocio</v>
      </c>
    </row>
    <row r="25" customFormat="false" ht="24" hidden="false" customHeight="true" outlineLevel="0" collapsed="false">
      <c r="A25" s="59" t="s">
        <v>210</v>
      </c>
      <c r="B25" s="60" t="s">
        <v>214</v>
      </c>
      <c r="C25" s="61" t="s">
        <v>215</v>
      </c>
      <c r="D25" s="66" t="s">
        <v>213</v>
      </c>
      <c r="E25" s="57" t="n">
        <f aca="false">'S02-Lab'!C58</f>
        <v>0</v>
      </c>
      <c r="F25" s="64" t="str">
        <f aca="false">IF('Tu negocio'!C7="","llena primero Tu negocio",IF('S02-Lab'!C58&gt;0,"OK","por construir"))</f>
        <v>llena primero Tu negocio</v>
      </c>
    </row>
    <row r="26" customFormat="false" ht="24" hidden="false" customHeight="true" outlineLevel="0" collapsed="false">
      <c r="A26" s="59" t="s">
        <v>210</v>
      </c>
      <c r="B26" s="60" t="s">
        <v>216</v>
      </c>
      <c r="C26" s="61" t="s">
        <v>217</v>
      </c>
      <c r="D26" s="66" t="s">
        <v>213</v>
      </c>
      <c r="E26" s="57" t="n">
        <f aca="false">'S02-Lab'!C59</f>
        <v>0</v>
      </c>
      <c r="F26" s="64" t="str">
        <f aca="false">IF('Tu negocio'!C7="","llena primero Tu negocio",IF('S02-Lab'!C59&gt;0,"OK","por construir"))</f>
        <v>llena primero Tu negocio</v>
      </c>
    </row>
    <row r="27" customFormat="false" ht="25.5" hidden="false" customHeight="true" outlineLevel="0" collapsed="false">
      <c r="A27" s="67" t="s">
        <v>218</v>
      </c>
      <c r="C27" s="68" t="str">
        <f aca="false">COUNTIF(F14:F26,"OK")+COUNTIF(F14:F26,"conectada")&amp;" de 13 celdas listas"</f>
        <v>0 de 13 celdas listas</v>
      </c>
      <c r="D27" s="68"/>
      <c r="E27" s="69" t="str">
        <f aca="false">IF(COUNTIF(F14:F26,"revisar*")+COUNTIF(F14:F26,"falta conectar")&gt;0,"Hay algo que revisar, mira la columna Estado.","Nada marcado para revisar.")</f>
        <v>Nada marcado para revisar.</v>
      </c>
      <c r="F27" s="69"/>
    </row>
    <row r="29" customFormat="false" ht="24" hidden="false" customHeight="true" outlineLevel="0" collapsed="false">
      <c r="A29" s="2" t="s">
        <v>219</v>
      </c>
      <c r="B29" s="2"/>
      <c r="C29" s="2"/>
      <c r="D29" s="2"/>
      <c r="E29" s="2"/>
      <c r="F29" s="2"/>
    </row>
    <row r="30" customFormat="false" ht="33.75" hidden="false" customHeight="true" outlineLevel="0" collapsed="false">
      <c r="A30" s="4" t="s">
        <v>220</v>
      </c>
      <c r="B30" s="4"/>
      <c r="C30" s="4"/>
      <c r="D30" s="4"/>
      <c r="E30" s="4"/>
      <c r="F30" s="4"/>
    </row>
    <row r="31" customFormat="false" ht="30" hidden="false" customHeight="true" outlineLevel="0" collapsed="false">
      <c r="A31" s="5" t="s">
        <v>221</v>
      </c>
      <c r="B31" s="5"/>
      <c r="C31" s="5" t="s">
        <v>97</v>
      </c>
      <c r="D31" s="5"/>
      <c r="E31" s="5"/>
      <c r="F31" s="5" t="s">
        <v>222</v>
      </c>
    </row>
    <row r="32" customFormat="false" ht="21.75" hidden="false" customHeight="true" outlineLevel="0" collapsed="false">
      <c r="A32" s="56" t="s">
        <v>112</v>
      </c>
      <c r="C32" s="62" t="n">
        <v>304.5</v>
      </c>
      <c r="F32" s="59" t="s">
        <v>223</v>
      </c>
    </row>
    <row r="33" customFormat="false" ht="21.75" hidden="false" customHeight="true" outlineLevel="0" collapsed="false">
      <c r="A33" s="56" t="s">
        <v>114</v>
      </c>
      <c r="C33" s="65" t="n">
        <v>6699</v>
      </c>
      <c r="F33" s="59" t="s">
        <v>224</v>
      </c>
    </row>
    <row r="34" customFormat="false" ht="21.75" hidden="false" customHeight="true" outlineLevel="0" collapsed="false">
      <c r="A34" s="56" t="s">
        <v>116</v>
      </c>
      <c r="C34" s="65" t="n">
        <v>200970</v>
      </c>
      <c r="F34" s="59" t="s">
        <v>225</v>
      </c>
    </row>
    <row r="35" customFormat="false" ht="21.75" hidden="false" customHeight="true" outlineLevel="0" collapsed="false">
      <c r="A35" s="56" t="s">
        <v>226</v>
      </c>
      <c r="C35" s="65" t="n">
        <v>2310</v>
      </c>
      <c r="F35" s="59" t="s">
        <v>227</v>
      </c>
    </row>
    <row r="36" customFormat="false" ht="21.75" hidden="false" customHeight="true" outlineLevel="0" collapsed="false">
      <c r="A36" s="56" t="s">
        <v>228</v>
      </c>
      <c r="C36" s="65" t="n">
        <v>5742</v>
      </c>
      <c r="F36" s="59" t="s">
        <v>229</v>
      </c>
    </row>
    <row r="37" customFormat="false" ht="21.75" hidden="false" customHeight="true" outlineLevel="0" collapsed="false">
      <c r="A37" s="56" t="s">
        <v>230</v>
      </c>
      <c r="C37" s="65" t="n">
        <v>6699</v>
      </c>
      <c r="F37" s="59" t="s">
        <v>231</v>
      </c>
    </row>
    <row r="38" customFormat="false" ht="21.75" hidden="false" customHeight="true" outlineLevel="0" collapsed="false">
      <c r="A38" s="56" t="s">
        <v>232</v>
      </c>
      <c r="C38" s="70" t="n">
        <v>35</v>
      </c>
      <c r="F38" s="59" t="s">
        <v>233</v>
      </c>
    </row>
    <row r="39" customFormat="false" ht="21.75" hidden="false" customHeight="true" outlineLevel="0" collapsed="false">
      <c r="A39" s="56" t="s">
        <v>234</v>
      </c>
      <c r="C39" s="71" t="n">
        <v>2.4857</v>
      </c>
      <c r="F39" s="59" t="s">
        <v>235</v>
      </c>
    </row>
    <row r="41" customFormat="false" ht="39.75" hidden="false" customHeight="true" outlineLevel="0" collapsed="false">
      <c r="A41" s="4" t="s">
        <v>236</v>
      </c>
      <c r="B41" s="4"/>
      <c r="C41" s="4"/>
      <c r="D41" s="4"/>
      <c r="E41" s="4"/>
      <c r="F41" s="4"/>
    </row>
  </sheetData>
  <mergeCells count="12">
    <mergeCell ref="A1:F1"/>
    <mergeCell ref="A2:F2"/>
    <mergeCell ref="A4:F4"/>
    <mergeCell ref="A5:F5"/>
    <mergeCell ref="F7:F9"/>
    <mergeCell ref="A11:F11"/>
    <mergeCell ref="A12:F12"/>
    <mergeCell ref="C27:D27"/>
    <mergeCell ref="E27:F27"/>
    <mergeCell ref="A29:F29"/>
    <mergeCell ref="A30:F30"/>
    <mergeCell ref="A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6"/>
    <col collapsed="false" customWidth="true" hidden="false" outlineLevel="0" max="3" min="3" style="1" width="14"/>
    <col collapsed="false" customWidth="true" hidden="false" outlineLevel="0" max="4" min="4" style="1" width="18"/>
  </cols>
  <sheetData>
    <row r="1" customFormat="false" ht="24" hidden="false" customHeight="true" outlineLevel="0" collapsed="false">
      <c r="A1" s="2" t="s">
        <v>237</v>
      </c>
      <c r="B1" s="2"/>
      <c r="C1" s="2"/>
      <c r="D1" s="2"/>
    </row>
    <row r="2" customFormat="false" ht="19.5" hidden="false" customHeight="true" outlineLevel="0" collapsed="false">
      <c r="A2" s="3" t="s">
        <v>238</v>
      </c>
      <c r="B2" s="3"/>
      <c r="C2" s="3"/>
      <c r="D2" s="3"/>
    </row>
    <row r="4" customFormat="false" ht="24" hidden="false" customHeight="true" outlineLevel="0" collapsed="false">
      <c r="A4" s="2" t="s">
        <v>239</v>
      </c>
      <c r="B4" s="2"/>
      <c r="C4" s="2"/>
      <c r="D4" s="2"/>
    </row>
    <row r="5" customFormat="false" ht="30" hidden="false" customHeight="true" outlineLevel="0" collapsed="false">
      <c r="A5" s="5" t="s">
        <v>240</v>
      </c>
      <c r="B5" s="5" t="s">
        <v>241</v>
      </c>
      <c r="C5" s="5" t="s">
        <v>242</v>
      </c>
      <c r="D5" s="5" t="s">
        <v>243</v>
      </c>
    </row>
    <row r="6" customFormat="false" ht="42" hidden="false" customHeight="true" outlineLevel="0" collapsed="false">
      <c r="A6" s="6" t="s">
        <v>244</v>
      </c>
      <c r="B6" s="8" t="s">
        <v>245</v>
      </c>
      <c r="C6" s="72" t="s">
        <v>246</v>
      </c>
      <c r="D6" s="72" t="s">
        <v>247</v>
      </c>
    </row>
    <row r="7" customFormat="false" ht="42" hidden="false" customHeight="true" outlineLevel="0" collapsed="false">
      <c r="A7" s="6" t="s">
        <v>248</v>
      </c>
      <c r="B7" s="8" t="s">
        <v>249</v>
      </c>
      <c r="C7" s="72" t="s">
        <v>246</v>
      </c>
      <c r="D7" s="72" t="s">
        <v>247</v>
      </c>
    </row>
    <row r="8" customFormat="false" ht="42" hidden="false" customHeight="true" outlineLevel="0" collapsed="false">
      <c r="A8" s="6" t="s">
        <v>250</v>
      </c>
      <c r="B8" s="8" t="s">
        <v>251</v>
      </c>
      <c r="C8" s="72" t="s">
        <v>246</v>
      </c>
      <c r="D8" s="72" t="s">
        <v>247</v>
      </c>
    </row>
    <row r="9" customFormat="false" ht="42" hidden="false" customHeight="true" outlineLevel="0" collapsed="false">
      <c r="A9" s="6" t="s">
        <v>252</v>
      </c>
      <c r="B9" s="8" t="s">
        <v>253</v>
      </c>
      <c r="C9" s="72" t="s">
        <v>246</v>
      </c>
      <c r="D9" s="72" t="s">
        <v>247</v>
      </c>
    </row>
    <row r="10" customFormat="false" ht="42" hidden="false" customHeight="true" outlineLevel="0" collapsed="false">
      <c r="A10" s="6" t="s">
        <v>38</v>
      </c>
      <c r="B10" s="8" t="s">
        <v>254</v>
      </c>
      <c r="C10" s="72" t="s">
        <v>246</v>
      </c>
      <c r="D10" s="72" t="s">
        <v>247</v>
      </c>
    </row>
    <row r="11" customFormat="false" ht="42" hidden="false" customHeight="true" outlineLevel="0" collapsed="false">
      <c r="A11" s="6" t="s">
        <v>77</v>
      </c>
      <c r="B11" s="8" t="s">
        <v>255</v>
      </c>
      <c r="C11" s="72" t="s">
        <v>246</v>
      </c>
      <c r="D11" s="72" t="s">
        <v>247</v>
      </c>
    </row>
    <row r="12" customFormat="false" ht="42" hidden="false" customHeight="true" outlineLevel="0" collapsed="false">
      <c r="A12" s="6" t="s">
        <v>81</v>
      </c>
      <c r="B12" s="8" t="s">
        <v>256</v>
      </c>
      <c r="C12" s="72" t="s">
        <v>246</v>
      </c>
      <c r="D12" s="72" t="s">
        <v>247</v>
      </c>
    </row>
    <row r="14" customFormat="false" ht="24" hidden="false" customHeight="true" outlineLevel="0" collapsed="false">
      <c r="A14" s="2" t="s">
        <v>257</v>
      </c>
      <c r="B14" s="2"/>
      <c r="C14" s="2"/>
      <c r="D14" s="2"/>
    </row>
    <row r="15" customFormat="false" ht="30" hidden="false" customHeight="true" outlineLevel="0" collapsed="false">
      <c r="A15" s="5" t="s">
        <v>240</v>
      </c>
      <c r="B15" s="5" t="s">
        <v>241</v>
      </c>
      <c r="C15" s="5" t="s">
        <v>242</v>
      </c>
      <c r="D15" s="5" t="s">
        <v>243</v>
      </c>
    </row>
    <row r="16" customFormat="false" ht="42" hidden="false" customHeight="true" outlineLevel="0" collapsed="false">
      <c r="A16" s="6" t="s">
        <v>258</v>
      </c>
      <c r="B16" s="8" t="s">
        <v>259</v>
      </c>
      <c r="C16" s="72" t="s">
        <v>260</v>
      </c>
      <c r="D16" s="72" t="s">
        <v>261</v>
      </c>
    </row>
    <row r="17" customFormat="false" ht="42" hidden="false" customHeight="true" outlineLevel="0" collapsed="false">
      <c r="A17" s="6" t="s">
        <v>262</v>
      </c>
      <c r="B17" s="8" t="s">
        <v>263</v>
      </c>
      <c r="C17" s="72" t="s">
        <v>260</v>
      </c>
      <c r="D17" s="72" t="s">
        <v>261</v>
      </c>
    </row>
    <row r="18" customFormat="false" ht="42" hidden="false" customHeight="true" outlineLevel="0" collapsed="false">
      <c r="A18" s="6" t="s">
        <v>264</v>
      </c>
      <c r="B18" s="8" t="s">
        <v>265</v>
      </c>
      <c r="C18" s="72" t="s">
        <v>260</v>
      </c>
      <c r="D18" s="72" t="s">
        <v>266</v>
      </c>
    </row>
    <row r="19" customFormat="false" ht="42" hidden="false" customHeight="true" outlineLevel="0" collapsed="false">
      <c r="A19" s="6" t="s">
        <v>267</v>
      </c>
      <c r="B19" s="8" t="s">
        <v>268</v>
      </c>
      <c r="C19" s="72" t="s">
        <v>260</v>
      </c>
      <c r="D19" s="72" t="s">
        <v>266</v>
      </c>
    </row>
    <row r="20" customFormat="false" ht="42" hidden="false" customHeight="true" outlineLevel="0" collapsed="false">
      <c r="A20" s="6" t="s">
        <v>269</v>
      </c>
      <c r="B20" s="8" t="s">
        <v>270</v>
      </c>
      <c r="C20" s="72" t="s">
        <v>260</v>
      </c>
      <c r="D20" s="72" t="s">
        <v>266</v>
      </c>
    </row>
  </sheetData>
  <mergeCells count="4">
    <mergeCell ref="A1:D1"/>
    <mergeCell ref="A2:D2"/>
    <mergeCell ref="A4:D4"/>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2026-08-06T19:37:44Z</dcterms:created>
  <dc:creator>openpyxl</dc:creator>
  <dc:description/>
  <dc:language>en-US</dc:language>
  <cp:lastModifiedBy>Omar Galdamez</cp:lastModifiedBy>
  <dcterms:modified xsi:type="dcterms:W3CDTF">2026-08-17T20:32:14Z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